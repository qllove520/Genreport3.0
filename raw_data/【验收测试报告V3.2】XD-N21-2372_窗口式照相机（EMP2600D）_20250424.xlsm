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XD04045\Downloads\Genreporttool2.5-main\raw_data\"/>
    </mc:Choice>
  </mc:AlternateContent>
  <bookViews>
    <workbookView xWindow="-108" yWindow="-108" windowWidth="19416" windowHeight="11616" tabRatio="926"/>
  </bookViews>
  <sheets>
    <sheet name="验收测试结果" sheetId="1" r:id="rId1"/>
    <sheet name="遗留缺陷列表" sheetId="2" r:id="rId2"/>
    <sheet name="产品需求列表" sheetId="3" r:id="rId3"/>
    <sheet name="验收测试用例" sheetId="4" r:id="rId4"/>
    <sheet name="设备外观图" sheetId="5" r:id="rId5"/>
    <sheet name="跑机记录表（MTBF&amp;MTTR）" sheetId="6" r:id="rId6"/>
    <sheet name="打印版面介绍" sheetId="7" r:id="rId7"/>
    <sheet name="CPK测量记录-C36716（贴标）" sheetId="8" r:id="rId8"/>
    <sheet name="CPK测量记录-C36717 (白卡)" sheetId="9" r:id="rId9"/>
    <sheet name="CPK测量记录-C36717 (黑卡) " sheetId="10" r:id="rId10"/>
    <sheet name="附件" sheetId="11" r:id="rId11"/>
  </sheets>
  <definedNames>
    <definedName name="_xlnm._FilterDatabase" localSheetId="2" hidden="1">产品需求列表!$A$2:$I$93</definedName>
    <definedName name="_xlnm._FilterDatabase" localSheetId="3" hidden="1">验收测试用例!$A$2:$J$102</definedName>
    <definedName name="_xlnm._FilterDatabase" localSheetId="1" hidden="1">遗留缺陷列表!$A$2:$N$40</definedName>
    <definedName name="_xlnm.Print_Titles" localSheetId="7">'CPK测量记录-C36716（贴标）'!$1:$2</definedName>
    <definedName name="_xlnm.Print_Titles" localSheetId="8">'CPK测量记录-C36717 (白卡)'!$1:$2</definedName>
    <definedName name="_xlnm.Print_Titles" localSheetId="9">'CPK测量记录-C36717 (黑卡) '!$1:$2</definedName>
    <definedName name="_xlnm.Print_Titles" localSheetId="2">产品需求列表!$1:$2</definedName>
    <definedName name="_xlnm.Print_Titles" localSheetId="6">打印版面介绍!$1:$2</definedName>
    <definedName name="_xlnm.Print_Titles" localSheetId="10">附件!$1:$2</definedName>
    <definedName name="_xlnm.Print_Titles" localSheetId="4">设备外观图!$1:$2</definedName>
    <definedName name="_xlnm.Print_Titles" localSheetId="3">验收测试用例!$1:$2</definedName>
    <definedName name="_xlnm.Print_Titles" localSheetId="1">遗留缺陷列表!$1:$2</definedName>
  </definedNames>
  <calcPr calcId="152511"/>
</workbook>
</file>

<file path=xl/calcChain.xml><?xml version="1.0" encoding="utf-8"?>
<calcChain xmlns="http://schemas.openxmlformats.org/spreadsheetml/2006/main">
  <c r="A1" i="11" l="1"/>
  <c r="E13" i="10"/>
  <c r="E14" i="10" s="1"/>
  <c r="D13" i="10"/>
  <c r="D14" i="10" s="1"/>
  <c r="C13" i="10"/>
  <c r="C14" i="10" s="1"/>
  <c r="B13" i="10"/>
  <c r="E12" i="10"/>
  <c r="D12" i="10"/>
  <c r="C12" i="10"/>
  <c r="B12" i="10"/>
  <c r="B14" i="10" s="1"/>
  <c r="E11" i="10"/>
  <c r="D11" i="10"/>
  <c r="C11" i="10"/>
  <c r="B11" i="10"/>
  <c r="E10" i="10"/>
  <c r="D10" i="10"/>
  <c r="C10" i="10"/>
  <c r="B10" i="10"/>
  <c r="E9" i="10"/>
  <c r="D9" i="10"/>
  <c r="D8" i="10" s="1"/>
  <c r="C9" i="10"/>
  <c r="C8" i="10" s="1"/>
  <c r="B9" i="10"/>
  <c r="B7" i="10" s="1"/>
  <c r="E8" i="10"/>
  <c r="B8" i="10"/>
  <c r="E7" i="10"/>
  <c r="E6" i="10"/>
  <c r="D6" i="10"/>
  <c r="C6" i="10"/>
  <c r="B6" i="10"/>
  <c r="E5" i="10"/>
  <c r="D5" i="10"/>
  <c r="C5" i="10"/>
  <c r="B5" i="10"/>
  <c r="A1" i="10"/>
  <c r="E13" i="9"/>
  <c r="E14" i="9" s="1"/>
  <c r="D13" i="9"/>
  <c r="D14" i="9" s="1"/>
  <c r="C13" i="9"/>
  <c r="C14" i="9" s="1"/>
  <c r="B13" i="9"/>
  <c r="B14" i="9" s="1"/>
  <c r="E12" i="9"/>
  <c r="D12" i="9"/>
  <c r="C12" i="9"/>
  <c r="B12" i="9"/>
  <c r="E11" i="9"/>
  <c r="D11" i="9"/>
  <c r="C11" i="9"/>
  <c r="B11" i="9"/>
  <c r="E10" i="9"/>
  <c r="D10" i="9"/>
  <c r="D7" i="9" s="1"/>
  <c r="C10" i="9"/>
  <c r="B10" i="9"/>
  <c r="E9" i="9"/>
  <c r="E8" i="9" s="1"/>
  <c r="D9" i="9"/>
  <c r="D8" i="9" s="1"/>
  <c r="C9" i="9"/>
  <c r="C7" i="9" s="1"/>
  <c r="B9" i="9"/>
  <c r="B7" i="9" s="1"/>
  <c r="E7" i="9"/>
  <c r="E6" i="9"/>
  <c r="D6" i="9"/>
  <c r="C6" i="9"/>
  <c r="B6" i="9"/>
  <c r="E5" i="9"/>
  <c r="D5" i="9"/>
  <c r="C5" i="9"/>
  <c r="B5" i="9"/>
  <c r="A1" i="9"/>
  <c r="E14" i="8"/>
  <c r="E13" i="8"/>
  <c r="D13" i="8"/>
  <c r="D14" i="8" s="1"/>
  <c r="C13" i="8"/>
  <c r="C14" i="8" s="1"/>
  <c r="B13" i="8"/>
  <c r="E12" i="8"/>
  <c r="D12" i="8"/>
  <c r="C12" i="8"/>
  <c r="B12" i="8"/>
  <c r="B14" i="8" s="1"/>
  <c r="E11" i="8"/>
  <c r="D11" i="8"/>
  <c r="C11" i="8"/>
  <c r="B11" i="8"/>
  <c r="E10" i="8"/>
  <c r="D10" i="8"/>
  <c r="C10" i="8"/>
  <c r="B10" i="8"/>
  <c r="E9" i="8"/>
  <c r="D9" i="8"/>
  <c r="C9" i="8"/>
  <c r="C8" i="8" s="1"/>
  <c r="B9" i="8"/>
  <c r="B8" i="8" s="1"/>
  <c r="E8" i="8"/>
  <c r="D8" i="8"/>
  <c r="E7" i="8"/>
  <c r="D7" i="8"/>
  <c r="E6" i="8"/>
  <c r="D6" i="8"/>
  <c r="B6" i="8"/>
  <c r="E5" i="8"/>
  <c r="D5" i="8"/>
  <c r="C5" i="8"/>
  <c r="B5" i="8"/>
  <c r="A1" i="8"/>
  <c r="A1" i="7"/>
  <c r="M57" i="6"/>
  <c r="L57" i="6"/>
  <c r="E57" i="6"/>
  <c r="C57" i="6"/>
  <c r="F57" i="6" s="1"/>
  <c r="G57" i="6" s="1"/>
  <c r="M56" i="6"/>
  <c r="L56" i="6"/>
  <c r="E56" i="6"/>
  <c r="C56" i="6"/>
  <c r="F56" i="6" s="1"/>
  <c r="G56" i="6" s="1"/>
  <c r="M55" i="6"/>
  <c r="L55" i="6"/>
  <c r="E55" i="6"/>
  <c r="C55" i="6"/>
  <c r="F55" i="6" s="1"/>
  <c r="G55" i="6" s="1"/>
  <c r="M54" i="6"/>
  <c r="L54" i="6"/>
  <c r="E54" i="6"/>
  <c r="C54" i="6"/>
  <c r="F54" i="6" s="1"/>
  <c r="G54" i="6" s="1"/>
  <c r="M53" i="6"/>
  <c r="L53" i="6"/>
  <c r="E53" i="6"/>
  <c r="C53" i="6"/>
  <c r="F53" i="6" s="1"/>
  <c r="G53" i="6" s="1"/>
  <c r="M52" i="6"/>
  <c r="L52" i="6"/>
  <c r="E52" i="6"/>
  <c r="C52" i="6"/>
  <c r="F52" i="6" s="1"/>
  <c r="G52" i="6" s="1"/>
  <c r="M51" i="6"/>
  <c r="L51" i="6"/>
  <c r="E51" i="6"/>
  <c r="C51" i="6"/>
  <c r="F51" i="6" s="1"/>
  <c r="G51" i="6" s="1"/>
  <c r="M50" i="6"/>
  <c r="L50" i="6"/>
  <c r="E50" i="6"/>
  <c r="C50" i="6"/>
  <c r="F50" i="6" s="1"/>
  <c r="G50" i="6" s="1"/>
  <c r="M49" i="6"/>
  <c r="L49" i="6"/>
  <c r="E49" i="6"/>
  <c r="C49" i="6"/>
  <c r="F49" i="6" s="1"/>
  <c r="G49" i="6" s="1"/>
  <c r="M48" i="6"/>
  <c r="L48" i="6"/>
  <c r="E48" i="6"/>
  <c r="C48" i="6"/>
  <c r="F48" i="6" s="1"/>
  <c r="G48" i="6" s="1"/>
  <c r="M47" i="6"/>
  <c r="L47" i="6"/>
  <c r="E47" i="6"/>
  <c r="C47" i="6"/>
  <c r="F47" i="6" s="1"/>
  <c r="G47" i="6" s="1"/>
  <c r="M46" i="6"/>
  <c r="L46" i="6"/>
  <c r="E46" i="6"/>
  <c r="C46" i="6"/>
  <c r="F46" i="6" s="1"/>
  <c r="G46" i="6" s="1"/>
  <c r="M45" i="6"/>
  <c r="L45" i="6"/>
  <c r="E45" i="6"/>
  <c r="C45" i="6"/>
  <c r="F45" i="6" s="1"/>
  <c r="G45" i="6" s="1"/>
  <c r="M44" i="6"/>
  <c r="L44" i="6"/>
  <c r="E44" i="6"/>
  <c r="C44" i="6"/>
  <c r="F44" i="6" s="1"/>
  <c r="G44" i="6" s="1"/>
  <c r="M43" i="6"/>
  <c r="L43" i="6"/>
  <c r="E43" i="6"/>
  <c r="C43" i="6"/>
  <c r="F43" i="6" s="1"/>
  <c r="G43" i="6" s="1"/>
  <c r="M42" i="6"/>
  <c r="L42" i="6"/>
  <c r="E42" i="6"/>
  <c r="C42" i="6"/>
  <c r="F42" i="6" s="1"/>
  <c r="G42" i="6" s="1"/>
  <c r="M41" i="6"/>
  <c r="L41" i="6"/>
  <c r="E41" i="6"/>
  <c r="C41" i="6"/>
  <c r="F41" i="6" s="1"/>
  <c r="G41" i="6" s="1"/>
  <c r="M40" i="6"/>
  <c r="L40" i="6"/>
  <c r="E40" i="6"/>
  <c r="C40" i="6"/>
  <c r="F40" i="6" s="1"/>
  <c r="G40" i="6" s="1"/>
  <c r="M39" i="6"/>
  <c r="L39" i="6"/>
  <c r="E39" i="6"/>
  <c r="C39" i="6"/>
  <c r="F39" i="6" s="1"/>
  <c r="G39" i="6" s="1"/>
  <c r="M38" i="6"/>
  <c r="L38" i="6"/>
  <c r="E38" i="6"/>
  <c r="C38" i="6"/>
  <c r="F38" i="6" s="1"/>
  <c r="G38" i="6" s="1"/>
  <c r="M37" i="6"/>
  <c r="L37" i="6"/>
  <c r="E37" i="6"/>
  <c r="C37" i="6"/>
  <c r="F37" i="6" s="1"/>
  <c r="G37" i="6" s="1"/>
  <c r="M36" i="6"/>
  <c r="L36" i="6"/>
  <c r="E36" i="6"/>
  <c r="C36" i="6"/>
  <c r="F36" i="6" s="1"/>
  <c r="G36" i="6" s="1"/>
  <c r="M35" i="6"/>
  <c r="L35" i="6"/>
  <c r="E35" i="6"/>
  <c r="C35" i="6"/>
  <c r="F35" i="6" s="1"/>
  <c r="G35" i="6" s="1"/>
  <c r="M34" i="6"/>
  <c r="L34" i="6"/>
  <c r="E34" i="6"/>
  <c r="C34" i="6"/>
  <c r="F34" i="6" s="1"/>
  <c r="G34" i="6" s="1"/>
  <c r="M33" i="6"/>
  <c r="L33" i="6"/>
  <c r="E33" i="6"/>
  <c r="C33" i="6"/>
  <c r="F33" i="6" s="1"/>
  <c r="G33" i="6" s="1"/>
  <c r="M32" i="6"/>
  <c r="L32" i="6"/>
  <c r="E32" i="6"/>
  <c r="C32" i="6"/>
  <c r="F32" i="6" s="1"/>
  <c r="G32" i="6" s="1"/>
  <c r="M31" i="6"/>
  <c r="L31" i="6"/>
  <c r="E31" i="6"/>
  <c r="C31" i="6"/>
  <c r="F31" i="6" s="1"/>
  <c r="G31" i="6" s="1"/>
  <c r="M30" i="6"/>
  <c r="L30" i="6"/>
  <c r="E30" i="6"/>
  <c r="C30" i="6"/>
  <c r="F30" i="6" s="1"/>
  <c r="G30" i="6" s="1"/>
  <c r="M29" i="6"/>
  <c r="L29" i="6"/>
  <c r="E29" i="6"/>
  <c r="C29" i="6"/>
  <c r="F29" i="6" s="1"/>
  <c r="G29" i="6" s="1"/>
  <c r="M28" i="6"/>
  <c r="L28" i="6"/>
  <c r="E28" i="6"/>
  <c r="C28" i="6"/>
  <c r="F28" i="6" s="1"/>
  <c r="G28" i="6" s="1"/>
  <c r="M27" i="6"/>
  <c r="L27" i="6"/>
  <c r="E27" i="6"/>
  <c r="C27" i="6"/>
  <c r="F27" i="6" s="1"/>
  <c r="G27" i="6" s="1"/>
  <c r="M26" i="6"/>
  <c r="L26" i="6"/>
  <c r="E26" i="6"/>
  <c r="C26" i="6"/>
  <c r="F26" i="6" s="1"/>
  <c r="G26" i="6" s="1"/>
  <c r="M25" i="6"/>
  <c r="L25" i="6"/>
  <c r="E25" i="6"/>
  <c r="C25" i="6"/>
  <c r="F25" i="6" s="1"/>
  <c r="G25" i="6" s="1"/>
  <c r="M24" i="6"/>
  <c r="L24" i="6"/>
  <c r="E24" i="6"/>
  <c r="C24" i="6"/>
  <c r="F24" i="6" s="1"/>
  <c r="G24" i="6" s="1"/>
  <c r="M23" i="6"/>
  <c r="L23" i="6"/>
  <c r="E23" i="6"/>
  <c r="C23" i="6"/>
  <c r="F23" i="6" s="1"/>
  <c r="G23" i="6" s="1"/>
  <c r="M22" i="6"/>
  <c r="L22" i="6"/>
  <c r="E22" i="6"/>
  <c r="C22" i="6"/>
  <c r="F22" i="6" s="1"/>
  <c r="G22" i="6" s="1"/>
  <c r="M21" i="6"/>
  <c r="L21" i="6"/>
  <c r="E21" i="6"/>
  <c r="C21" i="6"/>
  <c r="F21" i="6" s="1"/>
  <c r="G21" i="6" s="1"/>
  <c r="M20" i="6"/>
  <c r="L20" i="6"/>
  <c r="E20" i="6"/>
  <c r="C20" i="6"/>
  <c r="F20" i="6" s="1"/>
  <c r="G20" i="6" s="1"/>
  <c r="M19" i="6"/>
  <c r="L19" i="6"/>
  <c r="E19" i="6"/>
  <c r="C19" i="6"/>
  <c r="F19" i="6" s="1"/>
  <c r="G19" i="6" s="1"/>
  <c r="M18" i="6"/>
  <c r="L18" i="6"/>
  <c r="E18" i="6"/>
  <c r="C18" i="6"/>
  <c r="F18" i="6" s="1"/>
  <c r="G18" i="6" s="1"/>
  <c r="M17" i="6"/>
  <c r="L17" i="6"/>
  <c r="E17" i="6"/>
  <c r="C17" i="6"/>
  <c r="F17" i="6" s="1"/>
  <c r="G17" i="6" s="1"/>
  <c r="M16" i="6"/>
  <c r="L16" i="6"/>
  <c r="E16" i="6"/>
  <c r="C16" i="6"/>
  <c r="F16" i="6" s="1"/>
  <c r="G16" i="6" s="1"/>
  <c r="M15" i="6"/>
  <c r="L15" i="6"/>
  <c r="E15" i="6"/>
  <c r="C15" i="6"/>
  <c r="F15" i="6" s="1"/>
  <c r="G15" i="6" s="1"/>
  <c r="M14" i="6"/>
  <c r="L14" i="6"/>
  <c r="E14" i="6"/>
  <c r="C14" i="6"/>
  <c r="F14" i="6" s="1"/>
  <c r="G14" i="6" s="1"/>
  <c r="M13" i="6"/>
  <c r="L13" i="6"/>
  <c r="E13" i="6"/>
  <c r="C13" i="6"/>
  <c r="F13" i="6" s="1"/>
  <c r="G13" i="6" s="1"/>
  <c r="M12" i="6"/>
  <c r="L12" i="6"/>
  <c r="E12" i="6"/>
  <c r="C12" i="6"/>
  <c r="F12" i="6" s="1"/>
  <c r="G12" i="6" s="1"/>
  <c r="M11" i="6"/>
  <c r="L11" i="6"/>
  <c r="E11" i="6"/>
  <c r="C11" i="6"/>
  <c r="F11" i="6" s="1"/>
  <c r="G11" i="6" s="1"/>
  <c r="M10" i="6"/>
  <c r="L10" i="6"/>
  <c r="E10" i="6"/>
  <c r="C10" i="6"/>
  <c r="F10" i="6" s="1"/>
  <c r="G10" i="6" s="1"/>
  <c r="M9" i="6"/>
  <c r="L9" i="6"/>
  <c r="E9" i="6"/>
  <c r="C9" i="6"/>
  <c r="F9" i="6" s="1"/>
  <c r="G9" i="6" s="1"/>
  <c r="M8" i="6"/>
  <c r="K4" i="6" s="1"/>
  <c r="L8" i="6"/>
  <c r="E8" i="6"/>
  <c r="C8" i="6"/>
  <c r="F8" i="6" s="1"/>
  <c r="M7" i="6"/>
  <c r="L7" i="6"/>
  <c r="F7" i="6"/>
  <c r="G7" i="6" s="1"/>
  <c r="E7" i="6"/>
  <c r="I4" i="6" s="1"/>
  <c r="J4" i="6"/>
  <c r="C4" i="6" s="1"/>
  <c r="A1" i="6"/>
  <c r="A1" i="5"/>
  <c r="A1" i="4"/>
  <c r="A1" i="3"/>
  <c r="A1" i="2"/>
  <c r="V24" i="1"/>
  <c r="N24" i="1"/>
  <c r="M24" i="1"/>
  <c r="I24" i="1"/>
  <c r="F24" i="1"/>
  <c r="V23" i="1"/>
  <c r="N23" i="1"/>
  <c r="M23" i="1"/>
  <c r="I23" i="1"/>
  <c r="N22" i="1"/>
  <c r="V22" i="1" s="1"/>
  <c r="M22" i="1"/>
  <c r="I22" i="1"/>
  <c r="F22" i="1"/>
  <c r="N21" i="1"/>
  <c r="V21" i="1" s="1"/>
  <c r="M21" i="1"/>
  <c r="U21" i="1" s="1"/>
  <c r="I21" i="1"/>
  <c r="F21" i="1" s="1"/>
  <c r="V20" i="1"/>
  <c r="T20" i="1"/>
  <c r="N20" i="1"/>
  <c r="M20" i="1"/>
  <c r="I20" i="1"/>
  <c r="F20" i="1"/>
  <c r="E20" i="1"/>
  <c r="E21" i="1" s="1"/>
  <c r="E22" i="1" s="1"/>
  <c r="V19" i="1"/>
  <c r="N19" i="1"/>
  <c r="M19" i="1"/>
  <c r="U19" i="1" s="1"/>
  <c r="I19" i="1"/>
  <c r="T19" i="1" s="1"/>
  <c r="W19" i="1" s="1"/>
  <c r="E19" i="1"/>
  <c r="N18" i="1"/>
  <c r="V18" i="1" s="1"/>
  <c r="M18" i="1"/>
  <c r="I18" i="1"/>
  <c r="F18" i="1"/>
  <c r="N17" i="1"/>
  <c r="V17" i="1" s="1"/>
  <c r="M17" i="1"/>
  <c r="U17" i="1" s="1"/>
  <c r="I17" i="1"/>
  <c r="F17" i="1" s="1"/>
  <c r="E17" i="1"/>
  <c r="E18" i="1" s="1"/>
  <c r="S10" i="1"/>
  <c r="A1" i="1"/>
  <c r="T18" i="1" l="1"/>
  <c r="U18" i="1"/>
  <c r="T22" i="1"/>
  <c r="E23" i="1"/>
  <c r="E24" i="1" s="1"/>
  <c r="U22" i="1"/>
  <c r="G8" i="6"/>
  <c r="L4" i="6"/>
  <c r="T23" i="1"/>
  <c r="U23" i="1"/>
  <c r="B4" i="6"/>
  <c r="H4" i="6" s="1"/>
  <c r="A4" i="6"/>
  <c r="B8" i="9"/>
  <c r="C6" i="8"/>
  <c r="T17" i="1"/>
  <c r="W17" i="1" s="1"/>
  <c r="T21" i="1"/>
  <c r="W21" i="1" s="1"/>
  <c r="C8" i="9"/>
  <c r="C7" i="10"/>
  <c r="F19" i="1"/>
  <c r="F23" i="1"/>
  <c r="B7" i="8"/>
  <c r="D7" i="10"/>
  <c r="U20" i="1"/>
  <c r="W20" i="1" s="1"/>
  <c r="C7" i="8"/>
  <c r="W23" i="1" l="1"/>
  <c r="U24" i="1"/>
  <c r="T24" i="1"/>
  <c r="W22" i="1"/>
  <c r="E4" i="6"/>
  <c r="G4" i="6"/>
  <c r="F4" i="6"/>
  <c r="W18" i="1"/>
  <c r="U10" i="1" l="1"/>
  <c r="W24" i="1"/>
</calcChain>
</file>

<file path=xl/comments1.xml><?xml version="1.0" encoding="utf-8"?>
<comments xmlns="http://schemas.openxmlformats.org/spreadsheetml/2006/main">
  <authors>
    <author>张诗婉</author>
  </authors>
  <commentList>
    <comment ref="H6" authorId="0" shapeId="0">
      <text>
        <r>
          <rPr>
            <sz val="11"/>
            <color theme="1"/>
            <rFont val="宋体"/>
            <family val="3"/>
            <charset val="134"/>
            <scheme val="minor"/>
          </rPr>
          <t>张诗婉:
Stop due to the machine :        yes = 1 no =0
（由于设备本身导致的停止：yes = 1 no =0）</t>
        </r>
      </text>
    </comment>
    <comment ref="J6" authorId="0" shapeId="0">
      <text>
        <r>
          <rPr>
            <sz val="11"/>
            <color theme="1"/>
            <rFont val="宋体"/>
            <family val="3"/>
            <charset val="134"/>
            <scheme val="minor"/>
          </rPr>
          <t>张诗婉:
Volontary stop (Break,meal,etc..) yes=1 no=0
（人为主动停止，如休息、吃饭等，yes=1 no=0）</t>
        </r>
      </text>
    </comment>
  </commentList>
</comments>
</file>

<file path=xl/sharedStrings.xml><?xml version="1.0" encoding="utf-8"?>
<sst xmlns="http://schemas.openxmlformats.org/spreadsheetml/2006/main" count="4444" uniqueCount="1567">
  <si>
    <t>项目编号</t>
  </si>
  <si>
    <t>项目名称</t>
  </si>
  <si>
    <t>测试单号</t>
  </si>
  <si>
    <t>NYLX20220304002</t>
  </si>
  <si>
    <t>项目经理</t>
  </si>
  <si>
    <t>产品内部型号</t>
  </si>
  <si>
    <t>产品名称</t>
  </si>
  <si>
    <t>BOM编码</t>
  </si>
  <si>
    <t>产品经理</t>
  </si>
  <si>
    <t>申请原因</t>
  </si>
  <si>
    <t>开始时间</t>
  </si>
  <si>
    <t>结束时间</t>
  </si>
  <si>
    <t>验收人员</t>
  </si>
  <si>
    <t>1. 测试概述</t>
  </si>
  <si>
    <t>1.1 测试依据：</t>
  </si>
  <si>
    <t>1.2 测试范围：</t>
  </si>
  <si>
    <t>2. 验收结论</t>
  </si>
  <si>
    <t>验收结论</t>
  </si>
  <si>
    <t>总轮次</t>
  </si>
  <si>
    <t>质量得分</t>
  </si>
  <si>
    <t>【不通过】：测试结果“不通过”，优化后下一版本验证。</t>
  </si>
  <si>
    <t>1.整机验收测试结果为：不通过。
2.底层软件主要存在问题：【稳定性】相机移动稳定性测试，出现多次还未到达预设测试数量，相机就自动停止的情况（偶现）。
3.上层应用主要存在问题：因多个主要功能未实现（自动调节光源功能未、换装功能、照相检测平台功能等），无法进行测试。
4.PRD需求验证，主要存在问题如下：
1）【上补光灯】上补光灯_显色指数、发光面积高度尺寸、灯边框过宽等不符合需求。
2）【上补光灯】稳定性测试，长时间保持最大亮度容易发烫，且会自动进入保护状态，导致灯会自动闪烁。
3）【下补光灯】下补光灯_色温和显色指数、功率、安装位置不符合需求。
4）【镜面玻璃】镜面玻璃反射率、宽度不符合需求，另外玻璃固定方式、外侧贴条等要改进。
5）【工作台】工作人员端灯带线路要加挡板、PCB加护罩；受理人员端屏幕角度有点偏低，看屏幕效果偏暗；工作台下面透光密集孔板防虫入以及工作台前端底部灯加灯罩。
6）【设备尺寸】设备尺寸长度、高度不符合需求。
7）【视线引导灯】需增加视线引导灯。
8）【读卡位】受理台桌面上的读卡位太平，不易拿取卡。
9）【电源】最大功率、待机功率不符合要求。
5.机电安全：测试结果为通过。</t>
  </si>
  <si>
    <t>3. 测试结果</t>
  </si>
  <si>
    <t>3.1验收轮次质量分评估</t>
  </si>
  <si>
    <t>需求版本</t>
  </si>
  <si>
    <t>第几轮次</t>
  </si>
  <si>
    <t>测试版本数</t>
  </si>
  <si>
    <t>本轮基础分</t>
  </si>
  <si>
    <t>本轮结果</t>
  </si>
  <si>
    <t>需求数据</t>
  </si>
  <si>
    <t>用例数据</t>
  </si>
  <si>
    <t>缺陷数据</t>
  </si>
  <si>
    <t>计分项</t>
  </si>
  <si>
    <t>验证得分</t>
  </si>
  <si>
    <t>总需求数</t>
  </si>
  <si>
    <t>通过数</t>
  </si>
  <si>
    <t>通过率</t>
  </si>
  <si>
    <t>总用例数</t>
  </si>
  <si>
    <t>执行用例数</t>
  </si>
  <si>
    <t>本轮新增缺陷总数</t>
  </si>
  <si>
    <t>S-致命</t>
  </si>
  <si>
    <t>A-严重</t>
  </si>
  <si>
    <t>B-一般</t>
  </si>
  <si>
    <t>C-建议</t>
  </si>
  <si>
    <t>遗留缺陷总数</t>
  </si>
  <si>
    <t>需求得分</t>
  </si>
  <si>
    <t>用例得分</t>
  </si>
  <si>
    <t>缺陷扣分</t>
  </si>
  <si>
    <t>3.3 缺陷收敛趋势及质量趋势图</t>
  </si>
  <si>
    <t>4.测试环境</t>
  </si>
  <si>
    <t>4.1归档软件版本信息</t>
  </si>
  <si>
    <t>版本包号</t>
  </si>
  <si>
    <t>EMP2600D_V1.0.0_Y_20210825</t>
  </si>
  <si>
    <t>上层应用软件</t>
  </si>
  <si>
    <t>EMP2600D上层应用(V1.21.0818.1945).exe</t>
  </si>
  <si>
    <t>底层软件</t>
  </si>
  <si>
    <t>EMP2600D上层控制动态库及维护软件(V1.21.0819.1).rar
EMP2600D烧录程序及工具(V1.21.0816.1).rar
EMP2600D引导程序(V1.21.0728.1).rar</t>
  </si>
  <si>
    <t>外设驱动程序</t>
  </si>
  <si>
    <t>类别</t>
  </si>
  <si>
    <t>厂家及型号</t>
  </si>
  <si>
    <t>驱动程序</t>
  </si>
  <si>
    <t>备注说明</t>
  </si>
  <si>
    <t>身份证阅读器</t>
  </si>
  <si>
    <t>华视CVR-100</t>
  </si>
  <si>
    <t>CVR-100 v3.0.beta_20110525</t>
  </si>
  <si>
    <t>高拍仪</t>
  </si>
  <si>
    <t>捷宇</t>
  </si>
  <si>
    <t>DoccameraOcx V3.7.17.0508</t>
  </si>
  <si>
    <t>指纹仪</t>
  </si>
  <si>
    <t>中控S680</t>
  </si>
  <si>
    <t>鸿达指纹仪驱动2.3版(20160829).exe</t>
  </si>
  <si>
    <t>4.2测试环境与配置</t>
  </si>
  <si>
    <t>客户端配置</t>
  </si>
  <si>
    <t>CPU： Intel（R） Core（TM） i5-6700 CPU @3.40 Ghz  3.40 GHz
内存： 8GB 
操作系统： Windows 7 专业版、64位</t>
  </si>
  <si>
    <t>数据库服务器配置</t>
  </si>
  <si>
    <t>应用服务器配置</t>
  </si>
  <si>
    <t>测试材料</t>
  </si>
  <si>
    <t>其他</t>
  </si>
  <si>
    <t>串口线、J-link线</t>
  </si>
  <si>
    <t>注：所有测试结果数据可在禅道系统中进行查询，系统地址：http://10.200.10.220/zentao/my/</t>
  </si>
  <si>
    <t>Bug编号</t>
  </si>
  <si>
    <t>所属模块</t>
  </si>
  <si>
    <t>相关需求</t>
  </si>
  <si>
    <t>Bug标题</t>
  </si>
  <si>
    <t>严重程度</t>
  </si>
  <si>
    <t>Bug类型</t>
  </si>
  <si>
    <t>操作系统</t>
  </si>
  <si>
    <t>浏览器</t>
  </si>
  <si>
    <t>重现步骤</t>
  </si>
  <si>
    <t>Bug状态</t>
  </si>
  <si>
    <t>由谁创建</t>
  </si>
  <si>
    <t>影响版本</t>
  </si>
  <si>
    <t>指派给</t>
  </si>
  <si>
    <t>相关用例</t>
  </si>
  <si>
    <t>解决方案</t>
  </si>
  <si>
    <t>C-改善建议</t>
  </si>
  <si>
    <t>性能问题</t>
  </si>
  <si>
    <t>激活</t>
  </si>
  <si>
    <t>白广海</t>
  </si>
  <si>
    <t>B-一般错误</t>
  </si>
  <si>
    <t>设计缺陷</t>
  </si>
  <si>
    <t>代码错误</t>
  </si>
  <si>
    <t>A-严重错误</t>
  </si>
  <si>
    <t>安装部署</t>
  </si>
  <si>
    <t>彭榛</t>
  </si>
  <si>
    <t>标准规范</t>
  </si>
  <si>
    <t>编号</t>
  </si>
  <si>
    <t>需求名称</t>
  </si>
  <si>
    <t>需求描述</t>
  </si>
  <si>
    <t>验收标准</t>
  </si>
  <si>
    <t>优先级</t>
  </si>
  <si>
    <t>B</t>
  </si>
  <si>
    <t>C</t>
  </si>
  <si>
    <t>关闭原因</t>
  </si>
  <si>
    <t>F0-必须满足</t>
  </si>
  <si>
    <t>设备尺寸</t>
  </si>
  <si>
    <t>用例编号</t>
  </si>
  <si>
    <t>用例标题</t>
  </si>
  <si>
    <t>前置条件</t>
  </si>
  <si>
    <t>步骤</t>
  </si>
  <si>
    <t>预期</t>
  </si>
  <si>
    <t>实际情况</t>
  </si>
  <si>
    <t>结果</t>
  </si>
  <si>
    <t>用例版本</t>
  </si>
  <si>
    <t>通过</t>
  </si>
  <si>
    <t>失败</t>
  </si>
  <si>
    <t>程序烧录</t>
  </si>
  <si>
    <t>程序关闭</t>
  </si>
  <si>
    <t>1. 软件正常退出，无异常；后台进程完全退出，不影响下一次正常开启使用</t>
  </si>
  <si>
    <t>Grey cells have to be filled for calculation（只需填写灰色单元格）</t>
  </si>
  <si>
    <t>O.P.E.</t>
  </si>
  <si>
    <t>MTBF
（平均无故障工作时间）</t>
  </si>
  <si>
    <t>MTTR
（平均维修时间）</t>
  </si>
  <si>
    <t>好卡生产率</t>
  </si>
  <si>
    <t>平均吞吐量</t>
  </si>
  <si>
    <t>瞬时吞吐量</t>
  </si>
  <si>
    <t>可用性</t>
  </si>
  <si>
    <t>生产时间</t>
  </si>
  <si>
    <t>维修时间</t>
  </si>
  <si>
    <t>人为停止时间</t>
  </si>
  <si>
    <t>制卡数量</t>
  </si>
  <si>
    <t>测试时间：2021-6-15~2021-6-18
备注说明：
-跑机测试使用的是第二台文采仪。
- 2次设备故障停止，均为设备突然停止运行，但第一次未报错，点击整机复位后才报错启动翻页流程失败65534；第二次停止运行后直接报错“失败60001 控制板通信问题”。
- 余下是正常批次做完，切换批次人为暂停</t>
  </si>
  <si>
    <t>停止时间</t>
  </si>
  <si>
    <t>开始计数</t>
  </si>
  <si>
    <t>停止计数</t>
  </si>
  <si>
    <t>生产数量</t>
  </si>
  <si>
    <t>速度 张/小时</t>
  </si>
  <si>
    <t>是否设备本身导致停止</t>
  </si>
  <si>
    <t>原因/解决方案</t>
  </si>
  <si>
    <t>是否人为主动停止</t>
  </si>
  <si>
    <t>坏卡数量</t>
  </si>
  <si>
    <t>人为主动停止时间</t>
  </si>
  <si>
    <t>CASE ID</t>
  </si>
  <si>
    <t>Front side</t>
  </si>
  <si>
    <t>Back side</t>
  </si>
  <si>
    <t>备注</t>
  </si>
  <si>
    <t>T001~T003</t>
  </si>
  <si>
    <t>正面、背面均打印定位十字，用于测量打印精度</t>
  </si>
  <si>
    <t>T004</t>
  </si>
  <si>
    <t>T005</t>
  </si>
  <si>
    <t>同一个打印模板，使用不同的DPI参数进行打印（600*600DPI,
600*900DPI，1200*1200DP）</t>
  </si>
  <si>
    <t>T006</t>
  </si>
  <si>
    <t>四边框距离卡边各0.5mm</t>
  </si>
  <si>
    <t>X1</t>
  </si>
  <si>
    <t>Y1</t>
  </si>
  <si>
    <t>X2</t>
  </si>
  <si>
    <t>Y2</t>
  </si>
  <si>
    <t>USL</t>
  </si>
  <si>
    <t>插图区域</t>
  </si>
  <si>
    <t>LSL</t>
  </si>
  <si>
    <t>±</t>
  </si>
  <si>
    <t>CP</t>
  </si>
  <si>
    <t>CPK (Up)</t>
  </si>
  <si>
    <t>CPK (Lo)</t>
  </si>
  <si>
    <t>STDEV</t>
  </si>
  <si>
    <t>Average</t>
  </si>
  <si>
    <t>Median</t>
  </si>
  <si>
    <t>Min</t>
  </si>
  <si>
    <t>Max</t>
  </si>
  <si>
    <t>Range</t>
  </si>
  <si>
    <t>在下面输入数据</t>
  </si>
  <si>
    <t>相关说明</t>
  </si>
  <si>
    <t>要求：
偏差±0.25mm
CPK＞1.33</t>
  </si>
  <si>
    <t>BUG编号</t>
  </si>
  <si>
    <t>图片</t>
  </si>
  <si>
    <t>说明</t>
  </si>
  <si>
    <t>/(#0)</t>
  </si>
  <si>
    <t>EMP7892D：上层盘点界面完成证件一页显示不全时，只显示最后一页，不能翻页查看</t>
  </si>
  <si>
    <t>上层盘点界面完成证件一页显示不全时，只显示最后一页，不能翻页查看</t>
  </si>
  <si>
    <t>胡艳洁</t>
  </si>
  <si>
    <t>主干(#trunk)</t>
  </si>
  <si>
    <t>范娜</t>
  </si>
  <si>
    <t>EMP7892D：上层盘点界面完成出现提示信息 图框，遮住数据，点击确认后直接退出界面，不能查看盘点后信息</t>
  </si>
  <si>
    <t>上层盘点界面完成出现提示信息 图框，遮住数据，点击确认后直接退出界面，不能查看盘点后信息</t>
  </si>
  <si>
    <t>EMP7892D：上层点击打开右门，开门失败提示：31017</t>
  </si>
  <si>
    <t>上层点击打开右门，开门失败提示：31017</t>
  </si>
  <si>
    <t>EMP7892D：批量取证，提示报错：11460/11414</t>
  </si>
  <si>
    <t>批量取证，时提示报错：11460/11414</t>
  </si>
  <si>
    <t>陈子昌</t>
  </si>
  <si>
    <t>EMP7892D：右侧电梯在靠近前面的挡住第一个传感器放一本证件，整机复位时不会清出本，报错：10701</t>
  </si>
  <si>
    <t>右侧电梯在靠近前面的挡住第一个传感器放一本证件，整机复位时不会清出本，报错：10701</t>
  </si>
  <si>
    <t>EMP7892D：右侧电梯到文采翻转模块没有重试功能</t>
  </si>
  <si>
    <t>右侧电梯到文采翻转模块没有重试功能</t>
  </si>
  <si>
    <t>EMP7892D：横移小车到右侧电梯没有重试功能</t>
  </si>
  <si>
    <t>横移小车到右侧电梯没有重试功能</t>
  </si>
  <si>
    <t>/主要功能模块(#15613)</t>
  </si>
  <si>
    <t>EMP7892D：左、右 侧电梯到本库没有重试功能</t>
  </si>
  <si>
    <t>左、右 侧电梯到本库没有重试功能</t>
  </si>
  <si>
    <t>EMP7892D：左侧电梯到横移小车，横移小车到左侧电梯没有重试功能</t>
  </si>
  <si>
    <t>左侧电梯到横移小车，横移小车到左侧电梯没有重试功能</t>
  </si>
  <si>
    <t>EMP7892D：批量发本箱发本时会发出两本，机器停止运行  报错10055</t>
  </si>
  <si>
    <t xml:space="preserve">[步骤] 批量发本箱发本时会发出两本，机器停止运行  报错10055
[结果]
[期望]
</t>
  </si>
  <si>
    <t>EMP7892D：卡本出口，挡板运动时有异响</t>
  </si>
  <si>
    <t xml:space="preserve">[步骤] 卡本出口，挡板运动时有异响
[结果]
[期望]
</t>
  </si>
  <si>
    <t>张福松</t>
  </si>
  <si>
    <t>EMP7892D：文采反转模块有一半的本在外面，点击翻转模块复位，会有动作运行，伤本</t>
  </si>
  <si>
    <t xml:space="preserve">[步骤] 文采反转模块有一半的本在外面，点击翻转模块复位，会有动作运行，伤本
[结果]
[期望]
</t>
  </si>
  <si>
    <t>EMP7892D：本库、文采反转模块有一半的本在外面，按动机械按键，左、右升降电梯、本库 会动</t>
  </si>
  <si>
    <t xml:space="preserve">[步骤]本库、文采反转模块有一半的本在外面，按动机械按键，左、右升降电梯、本库 会动
[结果]
[期望]
</t>
  </si>
  <si>
    <t>EMP7892D：灯控板1左 点全亮和全灭按键没响应</t>
  </si>
  <si>
    <t xml:space="preserve">[步骤] 灯控板1左 点全亮和全灭按键没响应
[结果]
[期望]
</t>
  </si>
  <si>
    <t>EMP7892D：背脊检测（颜色和饭光量）传感器检测错误</t>
  </si>
  <si>
    <t xml:space="preserve">[步骤] 背脊检测（颜色和饭光量）传感器检测错误
[结果]
[期望]
</t>
  </si>
  <si>
    <t>EMP7892D：部分传感器界面显示状态反应慢</t>
  </si>
  <si>
    <t xml:space="preserve">[步骤] 部分传感器界面显示状态反应慢
[结果]
[期望]
</t>
  </si>
  <si>
    <t>EMP7892D：昨天跑老化报10169错误，本在文采模块</t>
  </si>
  <si>
    <t xml:space="preserve">[步骤] 昨天跑老化报10169错误，本在文采模块
[结果]
[期望]
</t>
  </si>
  <si>
    <t>陈文建</t>
  </si>
  <si>
    <t>/盘点功能(#16494)</t>
  </si>
  <si>
    <t>证件护照尺寸宽度略小于标准的时候可能会盘点不到</t>
  </si>
  <si>
    <t xml:space="preserve">[前置条件]
上层应用 or 底层维护软件
[步骤]：
1.宽度略小一点的本。（87.2）
2.进行盘点。
3.更换正常宽度的本。（88）
[结果]
盘点结果异常，略小的本盘点的时候显示无证。
[期望]:
1.希望宽度在可接受的一定范围内都可以正常的盘点到位。
</t>
  </si>
  <si>
    <t>邱国祥</t>
  </si>
  <si>
    <t>S431_V7.0_20250619(#4438)</t>
  </si>
  <si>
    <t>/复位功能(#17710)</t>
  </si>
  <si>
    <t>复位色标被遮挡的异常没有弹窗提示</t>
  </si>
  <si>
    <t xml:space="preserve">[前置条件]
上层应用；
[步骤]：
1.首位色标被遮挡
2.进行复位操作
3.查看结果
[结果]
色标异常遮挡的时候，执行复位操作没有进行异常色标检测的弹窗提示，直接提示的是复位成功；
[期望]:
1.色标异常遮挡的时候也能在复位的时候弹窗提示。
</t>
  </si>
  <si>
    <t>/文采功能(#16500)</t>
  </si>
  <si>
    <t>[采集异常]护照资料页签发地点识别错误，签发机关=签发地点</t>
  </si>
  <si>
    <t xml:space="preserve">[前置条件]
上层应用；
[步骤]：
1.进入人像采集；
2.空白非人像采集场景
[结果]
签发地点：广西识别成北京 ，签发机关：公安部出入境管理局 识别成北京
  签发地点结果正确，签发机关=签发地点
&lt;img src="{45394.png}" alt="" /&gt;&lt;img src="{45395.png}" alt="" /&gt;&lt;img src="{45393.png}" alt="" /&gt;
[期望]:
1. 识别的资料页，签发地点和签发机关都对应正确
</t>
  </si>
  <si>
    <t>张太平</t>
  </si>
  <si>
    <t>护照采集页的出生地采集信息是空白</t>
  </si>
  <si>
    <t xml:space="preserve">[前置条件]
上层应用；
[步骤]：
1.正常的进行护照采集
2.后台查询
[结果]
护照的资料页出生地的信息是空白。
&lt;img src="{45392.png}" alt="" /&gt;
[期望]:
1.护照信息识别成功，出生地的信息存在且准确。
</t>
  </si>
  <si>
    <t>/后台-设备联调(#16558)</t>
  </si>
  <si>
    <t>【提案改善】：部件状态信息描述部分有一些非必要的状态字段可以删除</t>
  </si>
  <si>
    <t xml:space="preserve">[前置条件]
上层应用；
[步骤]：
1.后台管理平台
2.点击部件状态
[结果]
部件状态信息描述部分有一些非必要的状态字段（faultMsg. statuInfo.),排版也不美观的。
&lt;img src="{45298.png}" alt="" /&gt;
[期望]:
1.希望是纯中文字段显示，排版清晰明了。
</t>
  </si>
  <si>
    <t>彭石清</t>
  </si>
  <si>
    <t>/其他功能(#16496)</t>
  </si>
  <si>
    <t>日志信息未脱敏（姓名+身份证都在日志可以完整的看到）</t>
  </si>
  <si>
    <t xml:space="preserve">[前置条件]
上层应用；
[步骤]：
1.打开当日的Log文件
2.检查文件信息
[结果]
日志信息未脱敏（姓名+身份证都在日志可以完整的看到）
&lt;img src="{45288.png}" alt="" /&gt;
[期望]:
按照如下要求：
日志信息中不允许完整记录身份证号码、姓名、银行卡号、手机号码。具体规则如下：
1）中文名字：只展示姓名第一个字；
2）身份证号：年月日脱敏，前6后4不脱敏；
3）手机号：前三后四不脱敏，中间脱敏；
4）银行卡：前 6 位和后 4 位不脱敏，中间脱敏。
</t>
  </si>
  <si>
    <t>蒋妍</t>
  </si>
  <si>
    <t>日志-常见信息脱敏(87001)</t>
  </si>
  <si>
    <t>/用户登录(#16539)</t>
  </si>
  <si>
    <t>[改善建议]:设备用户注册后，后台部门信息需默认完善且利于分类搜索</t>
  </si>
  <si>
    <t xml:space="preserve">[前置条件]
上层应用；
[步骤]：
1.正常进入用户注册
2.注册完成
3.后台查询搜索用户
[结果]
0.后台用户信息部分为空，所属部门，所属角色为空。
1.多级设备分类的，无法通过设备编号去查询搜索到所注册的用户（EMP7892D测试---7892D_001设备）。
2.只能点击全部信息，一页一页的搜索账号信息。（十分不方便，数据量变大后更不方便）
&lt;img src="{45191.png}" alt="" /&gt;
[期望]:
1.希望在设备注册的账号信息，所属角色默认是普通用户。
2.所属部门，直接关联到当前设备以及上级信息。（方便数据量庞大后通过设备编号分类查找）
</t>
  </si>
  <si>
    <t>【深圳外办试点问题】有1张签证，往返次数是多次，却识别成1次。</t>
  </si>
  <si>
    <t xml:space="preserve">
&lt;img src="{44439.png}" alt="" /&gt;
</t>
  </si>
  <si>
    <t>主干(#trunk)
EMP7892D_V7.0_20250619(#4437)</t>
  </si>
  <si>
    <t>【深圳外办试点问题】签证，有的签发日期、有效期，有的能识别，有的不能识别。</t>
  </si>
  <si>
    <t xml:space="preserve">&lt;img src="{44438.png}" alt="" /&gt;
</t>
  </si>
  <si>
    <t>/主要功能模块/采集模块(#15619)</t>
  </si>
  <si>
    <t>文采仪中翻封面的机构翻旧本偶尔存在失败，尤其深夜更易失败。</t>
  </si>
  <si>
    <t xml:space="preserve">[步骤]使用旧本，点击采集
[结果]泡水晒干的旧本，文采仪中翻封面页约10%概率失败（经过多次观察，在翻封面时，挡封面的机构，挡住了封面翻过去，记录中提示【19906033】翻页后检测到纸张悬在半空中），该本深夜失败率很高（2个晚上，这个本这两次都是失败的）
[期望]可以正常采集成功。
</t>
  </si>
  <si>
    <t>周雪波</t>
  </si>
  <si>
    <t>EMP7892D_V5.0_20250301(#4317)</t>
  </si>
  <si>
    <t>部分验讫章页的出入境日期未识别出来</t>
  </si>
  <si>
    <t>S431_V7.0_20250619(#4438)
EMPS431_V5.0_20250303(#4318)</t>
  </si>
  <si>
    <t>部分签注页签注号码、签发国家、签发地点等信息识别不出来</t>
  </si>
  <si>
    <t>【文采】验讫章识别出境日期信息有误</t>
  </si>
  <si>
    <t xml:space="preserve">[步骤]
1.打开系统平台-证件管理-验讫章管理
[结果]
1.查看已经识别得验讫章信息，发现识别的不对
[期望]
1.识别正确
&lt;img src="{41662.png}" alt="" /&gt;&lt;img src="{41663.png}" alt="" /&gt;
</t>
  </si>
  <si>
    <t>何琪</t>
  </si>
  <si>
    <t>S431_V2.0_20241008(#4154)</t>
  </si>
  <si>
    <t>验讫章信息识别(82423)</t>
  </si>
  <si>
    <t>【文采】护照验讫章页，只识别出境日期，没有识别出入境日期</t>
  </si>
  <si>
    <t xml:space="preserve">【步骤】
1.设备上查看今日护照采集信息
 【结果】
1.只识别出境日期，没有识别出入境日期
【期望】
1.识别稳定
&lt;img src="{41577.png}" alt="" /&gt;
</t>
  </si>
  <si>
    <t>S431_V7.0_20250619(#4438)
S431_V2.0_20241008(#4154)</t>
  </si>
  <si>
    <t>【文采】护照签证页识别，没有识别出来，出入境的日期，以及签证页信息</t>
  </si>
  <si>
    <t xml:space="preserve">【步骤】
1.查看今日采集护照信息
 【结果】
1.护照签证页识别，没有识别出来，出入境的日期，以及签证页信息
【期望】
1.算法识别稳定
&lt;img src="{41569.png}" alt="" /&gt;
</t>
  </si>
  <si>
    <t>/整机关键指标(#15612)</t>
  </si>
  <si>
    <t>【批量取本速度】平均速度：22.5s/张，需求要求11秒/本</t>
  </si>
  <si>
    <t xml:space="preserve">[步骤]
1.打开上层软件，登陆管理员模式
2.选择批量取本
[结果]
【批量取本速度】平均速度：22.5s/张，需求要求11秒/本
[期望]
1满足需求
</t>
  </si>
  <si>
    <t>EMP7892D_V7.0_20250619(#4437)
EMP7892D_V1.0_20240904(#4119)</t>
  </si>
  <si>
    <t>批量取本速度（不含翻页，＜11秒/本）(82401)</t>
  </si>
  <si>
    <t>【批量存本速度】平均速度：20.6s/张，需求13秒/本</t>
  </si>
  <si>
    <t xml:space="preserve">[步骤]
1.进入管理员模式，批量存本
2.点击存本开始计时，存本完成后结束计时
[结果]
批量存本速度平均速度：20.6s/张，需求13秒/本
[期望]
1.满足需求
</t>
  </si>
  <si>
    <t>批量存本速度（不含翻页，＜13秒/本）(82400)</t>
  </si>
  <si>
    <t>【单本存本速度】速度：19s/张，需求要求15秒/本</t>
  </si>
  <si>
    <t>[步骤]
1.打开上层软件，选择自助存证
2.存入证件后开始计时，存本到单元格结束计时
[结果]
1.【单本存本速度】速度：19s/张，需求要求15秒/本
[期望]
1.满足需求</t>
  </si>
  <si>
    <t>EMP7892D_V1.0_20240904(#4119)</t>
  </si>
  <si>
    <t>单本存本速度（不含翻页，＜15秒/本）(82398)</t>
  </si>
  <si>
    <t>【取本速度】单本取本速度：19s/张，需求要求11秒/本</t>
  </si>
  <si>
    <t xml:space="preserve">[步骤]
1.打开上层软件，自助取本
2.点击取本后开始计时，出门后结束计时
[结果]
单本取本速度：19s/张，需求要求11秒/本
[期望]
1.满足需求
</t>
  </si>
  <si>
    <t>单本取本速度（不含翻页，＜12秒/本）(82399)</t>
  </si>
  <si>
    <t>【文采】查看护照采集信息，签证信息没有识别出来</t>
  </si>
  <si>
    <t xml:space="preserve">[步骤]
1.查看护照采集信息
[结果]
1.签证信息没有识别出来
[期望]
1.识别出资料页
&lt;img src="{41063.png}" alt="" /&gt;
</t>
  </si>
  <si>
    <t>/存证功能(#16492)</t>
  </si>
  <si>
    <t>快满证存证的时候，后面几本存证特别的慢</t>
  </si>
  <si>
    <t xml:space="preserve">[前置条件]
上层应用；
[步骤]：
1.手动存证1597本，左边没有存满，右盘存满
2.清点操作
3.批量存证操作
[结果]
横移小车会移动到右边满证的一边，然后再移动到左边
  后面几本存证的时候特别的慢。
[期望]:
1.希望横移小车识别到右盘满证件不需要过去尝试存证操作
2.快满证存证的时候可以很快的存进去。
</t>
  </si>
  <si>
    <t>已解决</t>
  </si>
  <si>
    <t>不予解决</t>
  </si>
  <si>
    <t>进入文采界面，有概率性按返回键没有反应</t>
  </si>
  <si>
    <t xml:space="preserve">[前置条件]
上层应用；
[步骤]：
1.测试模式
1.进入采集模块
2.点击返回按钮
[结果]
多次点击返回按钮没有任何反应。
[期望]:
1.希望可以正常的在采集界面返回，功能正常
</t>
  </si>
  <si>
    <t>无法重现</t>
  </si>
  <si>
    <t>[采集老化]:采集的中途报错，证件在横推小车里面，横推小车和右机械手交互的位置，”文采模块故障![19906020]出本时，到达出本传感器超时”</t>
  </si>
  <si>
    <t xml:space="preserve">[前置条件]
上层应用；
[步骤]：
1.批量存证到本库
2.下发采集操作
3.检查结果
[结果]
时间：
采集的中途报错，证件在横推小车里面，横推小车和右机械手交互的位置，”文采模块故障![19906020]出本时，到达出本传感器超时”。
[期望]:
1.文采模块采集正常且没有没有任何报错
</t>
  </si>
  <si>
    <t>EMP7892D_V7.0_20250619(#4437)</t>
  </si>
  <si>
    <t>批量翻页采集,2000次，无故障(82405)</t>
  </si>
  <si>
    <t>/取证功能(#16493)</t>
  </si>
  <si>
    <t>[批量存证]因公护照循环批量取证出现本在小车里面暂停，弹窗报错“[10562]小车通道微调本位置时,本不在通道中央”</t>
  </si>
  <si>
    <t xml:space="preserve">[前置条件]
上层应用；
[步骤]：
1.因公护照放满存本箱
2.点击存证任务
[结果]
存证中途偶现本还在小车里面，弹窗提示“[10562]小车通道微调本位置时,本不在通道中央”------&gt; 60本因公护照，3组循环测试（1，2组60本都正常批量存证，第3组中途存证出现此问题）
&lt;img src="{45416.jpeg}" alt="" /&gt;
&lt;img src="{45418.jpeg}" alt="" /&gt;&lt;img src="{45417.jpeg}" alt="" /&gt;
tips：老化盘点运行11个小时也遇到了同样的异常报错。
[期望]:
1.可以正常的运行批量存证，老化盘点的功能。
</t>
  </si>
  <si>
    <t>/其他需求/可靠性(#15653)</t>
  </si>
  <si>
    <t>[盘点老化测试]:盘点超时回收后，证件到小车里面就暂停报错”执行失败 [10562]小车通道微调本位置时,本不在通道中央“</t>
  </si>
  <si>
    <t xml:space="preserve">[前置条件]
维护软件；
[步骤]：
1.进入维护软件；
2.整机复位操作
3.勾选开启“1.取本到批量箱2.盘点经过出口.3.随机标签 4.循环标签”
3.开始盘点
[结果]
6月27号21：47分~6月28号9：11分报错（11个小时24分钟），在证件超时回收的时候，本回退到小车就暂停盘点了，提示“[09:11:56]  盘点 : 执行失败 [10562]小车通道微调本位置时,本不在通道中央”；（详细看附件Log.txt)
&lt;img src="{45414.jpeg}" alt="" /&gt;&lt;img src="{45413.jpeg}" alt="" /&gt;
[期望]:
1.希望可以长时间的盘点正常不报错。
</t>
  </si>
  <si>
    <t>存取证跑机72小时(86812)</t>
  </si>
  <si>
    <t>/其他需求/伤本测试(#15651)</t>
  </si>
  <si>
    <t>[采集]:下发采集任务后，不会检测证件方向,（只有存证实现了检测）。</t>
  </si>
  <si>
    <t xml:space="preserve">[前置条件]
上层应用；
[步骤]：
1.正常存证
2.手工把证件方向放反
3.下发采集任务
[结果]
采集中途没有检测背脊朝里，开口朝外存入证件后
&lt;img src="{45412.jpeg}" alt="" /&gt;
[期望]:
1.采集前有工位可检测出来背脊方向不对，并报错提示，且不伤本。
</t>
  </si>
  <si>
    <t>背脊朝里，开口朝外存入证件后，下发采集任务，采集前检测出来，不伤本(87139)</t>
  </si>
  <si>
    <t>设计如此</t>
  </si>
  <si>
    <t>待采集护照列表搜索关键字的时候长时间Loading后弹窗报错（偶现）</t>
  </si>
  <si>
    <t xml:space="preserve">[前置条件]
上层应用；
[步骤]：
1.进入采集模块
2.搜索框输入关键字
3.点击查询
[结果]
不存在的关键字长时间Loading，最终弹窗报错。
&lt;img src="{45385.jpeg}" alt="" /&gt;
&lt;img src="{45386.jpeg}" alt="" /&gt;
[期望]:
1.关键字搜索立马匹配，查询不需要太长时间的等待且不弹窗报错。
</t>
  </si>
  <si>
    <t>[批量存本] 发本箱已满，中途错误提示'发本箱发本到小车时检测到本箱为空”。</t>
  </si>
  <si>
    <t xml:space="preserve">[前置条件]
上层应用；
[步骤]：
1.因公护照存满在发本箱
2.维护软件开始批量存证
[结果]
存本中途，底部本子页错位，且提示'发本箱发本到小车时检测到本箱为空”
&lt;img src="{45383.jpeg}" alt="" /&gt;
[期望]:
1.正常的批量存本。
</t>
  </si>
  <si>
    <t>[批量存本]发本箱满证，存本中途误报无证发本箱满证情况，存本中途误报无证</t>
  </si>
  <si>
    <t xml:space="preserve">[前置条件]
上层应用；
[步骤]：
1.因公护照满本存入发本箱子
2.开始存证任务
[结果]
发本箱实际是有证件的，存本中途误报无证；
&lt;img src="{45381.jpeg}" alt="" /&gt;
&lt;img src="{45382.jpeg}" alt="" /&gt;
[期望]:
1.希望可以准确的感应到发本箱实际有证件
</t>
  </si>
  <si>
    <t>退出上层app的时候出现服务通信异常的弹窗报错（偶现）</t>
  </si>
  <si>
    <t xml:space="preserve">[前置条件]
上层应用；
[步骤]：
1.正常的在上层app测试
2.退出上层app
[结果]
出现弹窗报错”服务通信异常“---&gt;2次（6月24号 20：22分  、6月25号9点47分）
&lt;img src="{45334.jpeg}" alt="" /&gt;
[期望]:
1.服务通信正常连接，可以正常的在上层app操作。
</t>
  </si>
  <si>
    <t>采集任务按照默认配置（开始页码0、结束页码0），第49页后台数据加载失败</t>
  </si>
  <si>
    <t>[前置条件]
准备48页因私护照真本[步骤]
1.真本存进盘库
2.按照默认配置（开始页码0、结束页码0），下发采集任务
3.后台管理平台查看采集结果
[结果]
1.第49页加载失败
&lt;img src="{45333.jpeg}" alt="" /&gt;
[期望]
1.希望采集页面信息都可以正常采集且正常加载。</t>
  </si>
  <si>
    <t>采集方式_翻页页数设置(85709)</t>
  </si>
  <si>
    <t>外部原因</t>
  </si>
  <si>
    <t>【需求改善】查看电子照片页面，上下页触发箭头会遮挡住采集的信息（建议触发箭头缩小/隐藏/后移）</t>
  </si>
  <si>
    <t xml:space="preserve">[前置条件]
后台管理平台
[步骤]：
1.进入电子证件
2.查看每一页的内容信息
[结果]
上下页触发箭头遮挡采集的信息。
&lt;img src="{45319.png}" alt="" /&gt;
[期望]:
1.希望上下页触发箭头不遮挡任何采集的信息区域。
</t>
  </si>
  <si>
    <t>主干(#trunk)
S431_V7.0_20250619(#4438)</t>
  </si>
  <si>
    <t>/清点功能(#16495)</t>
  </si>
  <si>
    <t>后台设备点击清点盘点未检测门状态</t>
  </si>
  <si>
    <t xml:space="preserve">[前置条件]
上层应用；
  配置工具中选择盘点检测门感应的选项。
[步骤]：
1.在后台（http://10.200.31.228:8206）点击设备管理
2.打开设备的门
3.
[结果]
上层app在盘点、清点的时候有感应门的操作且弹窗提示; 后台平台下发清点/盘点操作并没有弹窗提示关闭设备门。
[期望]:
1.如果门没有关闭，后台下发设备清点、盘点也有检测设备门且弹窗提示。
</t>
  </si>
  <si>
    <t>[概率性]批量存证时偶现信息显示界面不完整</t>
  </si>
  <si>
    <t xml:space="preserve">[前置条件]
上层应用；
[步骤]：
1.正在的在后台批量性的下存证任务
2.点击进入上层app
3.进入存证界面，批量存证
4.观察信息显示界面
[结果]
有概率性的出现，证件存入进程信息显示界面部分空白， 存取结束后查看结果可以看到具体的证件信息
&lt;img src="{45224.jpg}" alt="" /&gt;
&lt;img src="{45227.png}" alt="" /&gt;
[期望]:
1.在存读证的时候，信息显示完全且正确。
</t>
  </si>
  <si>
    <t>延期处理</t>
  </si>
  <si>
    <t>模拟断电，证件位置交换后取证只有提示读证失败，没有标记黑证且未交换</t>
  </si>
  <si>
    <t xml:space="preserve">[前置条件]
上层应用；
  F001和F003正常存了2张护照
[步骤]：
1.F001和F003护照位置交换
2.取证
[结果]
app只有提示读证失败
&lt;img src="{45200.png}" alt="" /&gt;
[期望]:
1.标记黑证方便处理
2.如果可以的话，读取信息后位置交替回来。
</t>
  </si>
  <si>
    <t>取证，模拟断电时，人工拿错证件，误插入别的证盒测试(79336)</t>
  </si>
  <si>
    <t>/界面要求(#16555)</t>
  </si>
  <si>
    <t>压缩程序大小&gt; 1G,没有分包</t>
  </si>
  <si>
    <t xml:space="preserve">[前置条件]
上层压缩程序
[步骤]：
1.check 上层压缩程序
&lt;img src="{45192.png}" alt="" /&gt;
[结果]
压缩程序大小是1.14&gt; 1G,没有分包；
[期望]:
1.压缩程序大小在1G内，超过需要分包压缩。
</t>
  </si>
  <si>
    <t>程序大小＜ 1G(72539)</t>
  </si>
  <si>
    <t>用户注册_3次不同拇指采集生效且注册正常</t>
  </si>
  <si>
    <t xml:space="preserve">[前置条件]
上层应用；
[步骤]：
1.用户注册
2.指纹采集
3.录入3次不同拇指的指纹特征
[结果]
1.3次不同拇指的指纹也正常且采集成功
[期望]:
1.采集不成功，提示“指纹特征合成失败，请重新采集”
</t>
  </si>
  <si>
    <t>用户注册_指纹采集测试(34658)</t>
  </si>
  <si>
    <t>设备断电自动重启后并没有复位操作</t>
  </si>
  <si>
    <t xml:space="preserve">[前置条件]
设备断电重启
[步骤]：
1.设备断电
2.设备上电
3.开门观察设备是否在上电后自动化的开始复位操作
[结果]
设备上电后没有复位操作
[期望]:
1.设备上电后有复位操作
</t>
  </si>
  <si>
    <t>设备断电自动重启复位(67192)</t>
  </si>
  <si>
    <t>转盘在首格的时候复位也会带动转盘的转动</t>
  </si>
  <si>
    <t xml:space="preserve">[前置条件]
上层应用；
[步骤]：
1.进入上层app（进入app已经开始复位一次了，转盘已经在首格）
2.观察设备内部的转盘是否是在首格
3.管理员模式进入，点击进入到复位操作
4.打开设备，观察复位的过程中转盘是否还在转动
[结果]
转盘在首格，复位动作还是会带动转盘转动
[期望]:
1.检测到转盘在首格，复位操作，转盘不再进行转动
</t>
  </si>
  <si>
    <t>优化转盘复位动作(67187)</t>
  </si>
  <si>
    <t>异常验证，将存入的证件替换为证件失效，点击查询结果：“未查询到结果”</t>
  </si>
  <si>
    <t xml:space="preserve">[前置条件]
上层应用；
[步骤]：
异常验证，将存入的证件替换为证件失效，再取去，有提示信息
1.将存入设备的证件用空白证件替换，
2.进行取证操作，
[结果]
点击查询结果：“未查询到结果”。
[期望]:
1.希望在点击"查询结果”可以正常的反馈取证的结果信息，提示异常原因，解决方案；
</t>
  </si>
  <si>
    <t>异常验证，将存入的证件替换为证件失效，再取去，有提示信息(72567)</t>
  </si>
  <si>
    <t>存证超时，上层App没有超时提示</t>
  </si>
  <si>
    <t xml:space="preserve">[前置条件]
上层App；
[步骤]：
1.管理员界面；
2.进入存证程序
[结果]
规定时间内没有放入护照证件，App没有超时提示。
&lt;img src="{45036.png}" alt="" /&gt;
[期望]:
1.用户在超出规定的存证时间内，App需要友情提示存证超时的提醒。
</t>
  </si>
  <si>
    <t>存证超时(72592)</t>
  </si>
  <si>
    <t>EMP7892D：采集缝线装订的证件，文采退本时阻力过大有概率导致退本失败</t>
  </si>
  <si>
    <t xml:space="preserve">[步骤]
1.下采集任务，采集缝线装订的证件
[结果]
1.文采退本时阻力过大有概率导致退本失败，报10169翻转模块从文采进本准备时，和文采衔接的通道检测到有本
[期望]
</t>
  </si>
  <si>
    <t>lihaining</t>
  </si>
  <si>
    <t>【深圳外办试点问题】算法权限获取失败，整机重启后正常。</t>
  </si>
  <si>
    <t xml:space="preserve">
</t>
  </si>
  <si>
    <t>稍微厚一些的本，有概率出现横移小车不能把本搓到左电梯相应位置，需要机械手把本抓取到电梯</t>
  </si>
  <si>
    <t xml:space="preserve">老化批量存证时，稍微厚一些的本，有概率出现横移小车不能把本搓到左电梯相应位置，需要机械手把本抓取到电梯
</t>
  </si>
  <si>
    <t>杨培基</t>
  </si>
  <si>
    <t>【翻页页数设置】设置翻页页码为0-4或0-3或0-6或0-7，实际只翻开了封面页就结束了，而设置为0-5则正常翻页3次</t>
  </si>
  <si>
    <t xml:space="preserve">[步骤]
1.后台设置翻页次数开始页为0
[结果]
1.设置翻页页码为0-4或0-3或0-6或0-7，实际只翻开了封面页就结束了，而设置为0-5则正常翻页3次：
&lt;img src="{43422.png}" alt="" /&gt;
[期望]
1.实际翻页页数与设置翻页次数保持一致；
</t>
  </si>
  <si>
    <t>EMP7892D_V5.0_20250301(#4329)</t>
  </si>
  <si>
    <t>文采仪翻页失败等未拍照，不利于调试、处理问题</t>
  </si>
  <si>
    <t xml:space="preserve">[步骤]模拟文采仪翻封面页失败、吸盘失败。
[结果]文采仪翻封面页失败未保存失败时的照片；文采仪吸盘失败未保存失败时的照片。
[期望]文采仪翻封面页失败拍照保存，文采仪翻纸张失败时，拍照保存。
</t>
  </si>
  <si>
    <t>证件采集所有的机械动作都刚完成后，关闭动力电源（OCR数据还没识别完），再开动力电源，护照采集会失败。</t>
  </si>
  <si>
    <t>/主要功能模块/批量取本箱(#15618)</t>
  </si>
  <si>
    <t>【批量收证箱】目前批量箱没有电子锁，底层无法控制开关</t>
  </si>
  <si>
    <t>[步骤]
1.用底层软件，控制批量箱门
[结果]
1.目前批量箱没有电子锁，底层无法控制开关
[期望]
1.硬件增加电子锁，底层更新控制</t>
  </si>
  <si>
    <t>EMP7892D_V3.0_20241101(#4184)</t>
  </si>
  <si>
    <t>批量收整箱有电子锁，底层可控制开关(83683)</t>
  </si>
  <si>
    <t>【文采控制】拔rk板子拔了，.没有实时监控板子是否拔掉，只有在下次执行指令的时候才会知道状态没变，建议文采控制库能主动上报给应用软件</t>
  </si>
  <si>
    <t xml:space="preserve">[步骤]
1.拔rk板子拔了，.没有实时监控板子是否拔掉
[结果]
1.只有在下次执行指令的时候才会知道状态没变
[期望]
1.建议文采控制库能主动上报给应用软件
&lt;img src="{41933.png}" alt="" /&gt;
</t>
  </si>
  <si>
    <t>/证件管理/证件列表(#16516)</t>
  </si>
  <si>
    <t>【系统平台】证件列表：下发自动存证任务，身份证输入框提示信息有误，需修改</t>
  </si>
  <si>
    <t xml:space="preserve">[前置条件]
1.拥有操作权限的用户已登录证件在线监管系统，进入证件列表页 [步骤]
1. 在列表中定位一条借出或未入库的证件，点击存证
2. 在存证任务页，选择自助存证，输入身份证
[结果]
1. 身份证输入框提示信息有误，如下图所示
&lt;img src="{41604.png}" alt="" /&gt;
[期望]
1. 需修改身份证输入框提示信息
</t>
  </si>
  <si>
    <t>朱双彬</t>
  </si>
  <si>
    <t>S41_V1.0.1_20241009(#4156)</t>
  </si>
  <si>
    <t>【系统平台】证件列表：新增页，点击拍摄照片无反应，未有提示信息</t>
  </si>
  <si>
    <t xml:space="preserve">[前置条件]
1.拥有操作权限的用户已登录证件在线监管系统，进入证件列表页 [步骤]
1. 新增页，点击拍摄照片
[结果]
1. 点击拍摄照片无反应，未有提示信息
[期望]
1. 如需连接摄像头，应有提示信息
</t>
  </si>
  <si>
    <t>【系统平台】证件列表：新增页，未连接读取设备，点击读取信息，未有提示信息</t>
  </si>
  <si>
    <t xml:space="preserve">[前置条件]
1.拥有操作权限的用户已登录证件在线监管系统，进入证件列表页 [步骤]
1. 未连接读取设备，在新增页，点击读取信息
[结果]
1. 未有提示信息
[期望]
1. 应有提示信息
</t>
  </si>
  <si>
    <t>/证件管理/任务管理(#16678)</t>
  </si>
  <si>
    <t>【系统平台】任务管理：下发取证任务，证已取出，但后台状态未更新的情况下，取消任务，导致证已取出，后台证件状态还是在库</t>
  </si>
  <si>
    <t xml:space="preserve">[前置条件]
1.拥有操作权限的用户已登录证件在线监管系统[步骤]
1. 在证件列表下发一个取证任务，证已取出，但后台状态未更新的情况下，取消任务
[结果]
1. 导致证已取出，后台证件状态还是在库 （存证任务一样）
[期望]
1. 应任务已取消，证件已取，自动更新证件状态
</t>
  </si>
  <si>
    <t>/设备管理/设备管理(#16680)</t>
  </si>
  <si>
    <t>【系统平台】 设备管理：卡盒图，卡位上有证或无证显示一样，应区分显示</t>
  </si>
  <si>
    <t xml:space="preserve">[前置条件]
拥有操作权限的用户已登录证件在线监管系统，进入设备管理页[步骤]
1. 查看设备的卡盒图
[结果]
1. 卡位上有证或无证显示一样，如下图所示，红色圈是有证的
&lt;img src="{41593.png}" alt="" /&gt;
[期望]
1. 卡位上有证盒无证应区分显示
</t>
  </si>
  <si>
    <t>【系统平台】 设备管理：卡盒图，卡位有证，显示证的姓名模糊，查看不清楚</t>
  </si>
  <si>
    <t xml:space="preserve">[前置条件]
拥有操作权限的用户已登录证件在线监管系统，进入设备管理页[步骤]
1. 卡盒里有存本，进行清点，再查看设备的卡盒图
[结果]
1. 卡位有证，显示证的姓名模糊，查看不清楚，如下图所示
&lt;img src="{41591.png}" alt="" /&gt;
[期望]
1. 姓名信息显示清晰
</t>
  </si>
  <si>
    <t>【系统平台】 设备管理：卡盒图，卡盒里有证，进行清点后，清点结果显示空</t>
  </si>
  <si>
    <t xml:space="preserve">[前置条件]
拥有操作权限的用户已登录证件在线监管系统，进入设备管理页[步骤]
1. 卡盒里有存本，进行清点，再查看设备的卡盒图
[结果]
1. 清点结果显示空，如下图所示
 &lt;img src="{41589.png}" alt="" /&gt;
[期望]
1. 卡盒信息显示正确
</t>
  </si>
  <si>
    <t>【系统平台】证件列表：下发自动存证填写了领证人身份证，下发自动取证任务时，未显示领证人身份证</t>
  </si>
  <si>
    <t xml:space="preserve">[前置条件]
1.拥有操作权限的用户已登录证件在线监管系统，进入证件列表页 [步骤]
1. 在列表中找到未入库的证件，下发存证任务，选择自助取证，填写领证人身份证，提交
2. 存证完成后，再下发自助取证任务
[结果]
1. 下发自动取证任务时，未显示领证人身份证
&lt;img src="{41584.png}" alt="" /&gt;
[期望]
1. 应显示领证人身份证
</t>
  </si>
  <si>
    <t>【系统平台】任务管理：查看清单和盘点任务的详情，结束位置显示不对</t>
  </si>
  <si>
    <t xml:space="preserve">[前置条件]
1.拥有操作权限的用户已登录证件在线监管系统[步骤]
1. 在设备管理页，下发盘点任务，开始位置是A001，结束位置是P100，提交
2. 在任务管理页，查看盘点任务详情
[结果]
1. 盘点任务详情如下图所示，结束位置显示D200 --卡盒  （清点一样）
&lt;img src="{41583.png}" alt="" /&gt;
[期望]
1. 详情页数据显示正确
</t>
  </si>
  <si>
    <t>【系统平台】 设备管理：清点和盘点页，提示信息有错误，有显示undefined</t>
  </si>
  <si>
    <t xml:space="preserve">[前置条件]
拥有操作权限的用户已登录证件在线监管系统，进入设备管理页[步骤]
1. 在列表中定位一台正常状态设备，点击功能，选择清点
2. 在列表中定位一台正常状态设备，点击功能，选择盘点
[结果]
1. 清点和盘点页，提示信息有错误，如下图所示
 &lt;img src="{41551.png}" alt="" /&gt;
[期望]
1. 清点和盘点页，提示信息显示正确
</t>
  </si>
  <si>
    <t>【系统平台】证件列表：存证任务页，证件柜建议不要设置默认值</t>
  </si>
  <si>
    <t xml:space="preserve">[前置条件]
1.拥有操作权限的用户已登录证件在线监管系统，进入证件列表页 [步骤]
1. 在列表中找到未入库的证件，下发存证任务
[结果]
1. 证件柜有默认值，很容易忽略，导致选择错了证件柜，证件柜建议不要设置默认值
&lt;img src="{41521.png}" alt="" /&gt;
[期望]
1. 证件柜建议不要设置默认值
</t>
  </si>
  <si>
    <t>【系统平台】证件列表：下发护照采集任务，开始页码和结束页码输入非整数，提交报错</t>
  </si>
  <si>
    <t xml:space="preserve">[前置条件]
1.拥有操作权限的用户已登录证件在线监管系统，进入证件列表页 [步骤]
1. 在列表中找到在库的证件，下发护照采集任务，开始页码和结束页码输入非整数，提交
[结果]
1. 开始页码和结束页码输入非整数，提交报错
&lt;img src="{41517.png}" alt="" /&gt;
[期望]
1. 开始页码和结束页码输入非整数，提交时弹出相应提示信息，或不可输入非整数
</t>
  </si>
  <si>
    <t>/其他需求/其他结构要求(#15645)</t>
  </si>
  <si>
    <t>【底控】重启设备，打开上层，底层报错“电梯升降复位时电梯离开原点失败”</t>
  </si>
  <si>
    <t xml:space="preserve">[步骤]
1.重启设备，打开上层，底层报错
[结果]
2.底层报错“电梯升降复位时电梯离开原点失败”
[期望]
3.设备稳定
&lt;img src="{41507.png}" alt="" /&gt;
</t>
  </si>
  <si>
    <t>【系统平台】证件列表：存证任务页，选择自助存证，有显示一个默认的身份证号</t>
  </si>
  <si>
    <t xml:space="preserve">[前置条件]
1.拥有操作权限的用户已登录证件在线监管系统，进入证件列表页 [步骤]
1. 在列表中找到未入库的证件，下发存证任务，选择自助取证
[结果]
1. 选择自助存证，有显示一个默认的身份证号
&lt;img src="{41501.png}" alt="" /&gt;
[期望]
1. 不应显示默认的身份证号
</t>
  </si>
  <si>
    <t>【系统平台】证件列表：查看护照图片，建议加输入页码的翻页功能</t>
  </si>
  <si>
    <t xml:space="preserve">[前置条件]
1.拥有操作权限的用户已登录证件在线监管系统，进入证件列表页 [步骤]
1. 在列表中找到在库的证件，下发护照采集任务，任务完成后，查看护照照片
[结果]
1. 共52页，需一页一页翻看，为方便查看，建议加输入页码的翻页功能
&lt;img src="{41500.png}" alt="" /&gt;
[期望]
1. 为方便查看，建议加输入页码的翻页功能
</t>
  </si>
  <si>
    <t>【系统平台】证件列表：下发存证任务，选择非入库的证件，提示信息错误，提示：需要存的证件含有处于在库状态</t>
  </si>
  <si>
    <t xml:space="preserve">[前置条件]
1.拥有操作权限的用户已登录证件在线监管系统，进入证件列表页 [步骤]
1. 在列表中找到采集中的证件，下发取证任务
[结果]
1. 提示信息错误，提示：需要存的证件含有处于在库状态
&lt;img src="{41504.png}" alt="" /&gt;
[期望]
1. 优化提示信息，方便操作人查看
</t>
  </si>
  <si>
    <t>【系统平台】证件列表：下发取证任务，选择非在库的证件，提示信息错误，提示：需要取的证件含有处于出库状态</t>
  </si>
  <si>
    <t xml:space="preserve">[前置条件]
1.拥有操作权限的用户已登录证件在线监管系统，进入证件列表页 [步骤]
1. 在列表中找到未入库的证件，下发取证任务
[结果]
1. 提示信息错误，提示：需要取的证件含有处于出库状态
&lt;img src="{41496.png}" alt="" /&gt;
[期望]
1. 优化提示信息，方便操作人查看
</t>
  </si>
  <si>
    <t>【系统平台】证件列表：下发护照采集任务，选择非在库的证件，提示信息错误，提示：需要取的证件含有处于出库状态</t>
  </si>
  <si>
    <t xml:space="preserve">[前置条件]
1.拥有操作权限的用户已登录证件在线监管系统，进入证件列表页 [步骤]
1. 在列表中找到未入库的证件，下发护照采集任务
[结果]
1. 提示信息错误，提示：需要取的证件含有处于出库状态
&lt;img src="{41491.png}" alt="" /&gt;
[期望]
1. 优化提示信息，方便操作人查看
</t>
  </si>
  <si>
    <t>【系统平台】证件列表/任务管理：下发自助存证任务，建议加下载存证二维码功能</t>
  </si>
  <si>
    <t xml:space="preserve">[前置条件]
1.拥有操作权限的用户已登录证件在线监管系统[步骤]
1. 在列表中找借出的护照，下发自助存证任务
[结果]
1. 下发成功后，弹出存证二维码，建议加下载功能（任务管理页，查看二维码也一样）
&lt;img src="{41489.png}" alt="" /&gt;
[期望]
1. 建议加下载存证二维码功能
</t>
  </si>
  <si>
    <t>【系统平台】任务管理：下发自助取证任务，设备名称为空</t>
  </si>
  <si>
    <t xml:space="preserve">[前置条件]
1.拥有操作权限的用户已登录证件在线监管系统，进入证件列表页 [步骤]
1. 在列表中找到在库的证件，下发自助取证任务
2. 在任务管理页，查看任务信息
[结果]
1. 下发自助取证任务，设备名称为空
&lt;img src="{41515.png}" alt="" /&gt;
[期望]
1. 设备名称显示正确
</t>
  </si>
  <si>
    <t>/证件管理(#16513)</t>
  </si>
  <si>
    <t>【系统平台】在页面有弹出页时，点击非弹出框区域，弹出页自动关闭</t>
  </si>
  <si>
    <t>[前置条件]
拥有操作权限的用户已登录证件在线监管系统，进入设备管理页[步骤]
1. 点击新增，在新增页填写信息，再点击非弹出框区域[结果]
1. 弹出页自动关闭，填写的信息又得重新输入一遍[期望]
1. 点击非弹出框区域，弹出页不自动关闭</t>
  </si>
  <si>
    <t>【系统平台】设备管理：参数配置所属机构下设备数量最大为8，新增第8台设备时，新增失败，提示：上级机构下设备数超过限制</t>
  </si>
  <si>
    <t xml:space="preserve">[前置条件]
1.拥有操作权限的用户已登录证件在线监管系统，进入设备管理页2.在系统管理下的参数管理页，设置“根据机构查询的设备的最大数量”为8[步骤]
1. 新增8台所属机构为“上级机构”的设备
[结果]
1. 新增第8台设备时，新增失败，提示：上级机构下设备数超过限制
[期望]
1. 新增成功
</t>
  </si>
  <si>
    <t>设备管理-设备管理-机构下限制设备数量(83148)</t>
  </si>
  <si>
    <t>【系统平台】设备管理：编辑页，修改所属机构，提交成功后，所属机构未变</t>
  </si>
  <si>
    <t xml:space="preserve">[前置条件]
拥有操作权限的用户已登录证件在线监管系统，进入设备管理页[步骤]
1. 在列表中定位一条数据，点击“编辑”按钮；
2. 修改所属机构，点击“保存”/“关闭”按钮。
[结果]
1. 自动跳转到修改界面
2. 所属机构未修改成功
[期望]
1. 自动跳转到修改界面；
2. 提交成功后，所属机构未变
</t>
  </si>
  <si>
    <t>设备管理-设备管理-编辑(82908)</t>
  </si>
  <si>
    <t xml:space="preserve"> 【系统平台】设备管理：列表有10台设备，编辑页点击重置，再输入数据提交，提交失败，提示：上级机构下设备数超过限制</t>
  </si>
  <si>
    <t xml:space="preserve">[前置条件]
拥有操作权限的用户已登录证件在线监管系统，进入设备管理页[步骤]
1. 在列表中定位一条数据，点击“编辑”按钮，再点击重置
[结果]
1. 列表有10台设备，编辑页点击重置，再输入数据提交，提交失败，提示：上级机构下设备数超过限制
&lt;img src="{41448.png}" alt="" /&gt;
[期望]
1. 可编辑成功
</t>
  </si>
  <si>
    <t xml:space="preserve"> 设备管理-设备管理-重置(83147)</t>
  </si>
  <si>
    <t>【系统平台】 设备管理：编辑页，点击重置，所属机构输入框变编号</t>
  </si>
  <si>
    <t xml:space="preserve">[前置条件]
拥有操作权限的用户已登录证件在线监管系统，进入设备管理页[步骤]
1. 在列表中定位一条数据，点击“编辑”按钮，再点击重置
[结果]
1. 点击重置，所属机构输入框变编号，如下图所示
 &lt;img src="{41447.png}" alt="" /&gt;
[期望]
1. 可编辑的数据被清空
</t>
  </si>
  <si>
    <t>【系统平台】设备管理：剩余容量可大于总容量，卡和本总和可大于总容量</t>
  </si>
  <si>
    <t>[前置条件]
拥有操作权限的用户已登录证件在线监管系统，进入设备管理页[步骤]
1. 新增时，填写剩余容量大于总容量，卡和本总和大于总容量，其他信息填写完，提交[结果]
1. 提交成功，如下图所示&lt;img src="{41439.png}" alt="" /&gt;
[期望]
1. 剩余容量不能大于总容量，卡和本总和不能大于总容量</t>
  </si>
  <si>
    <t>【系统平台】设备管理：图形化界面，图片区域建议将右上角图标去掉</t>
  </si>
  <si>
    <t>界面优化</t>
  </si>
  <si>
    <t xml:space="preserve">[前置条件]
拥有操作权限的用户已登录证件在线监管系统，进入设备管理页[步骤]
1. 在图形化界面查看设备信息[结果]
1. 图形化界面，图片区域右上角的图标，多余显示，如下图所示&lt;img src="{41438.png}" alt="" /&gt;
[期望]
1. 图形化界面，图片区域建议将右上角图标去掉
</t>
  </si>
  <si>
    <t>【系统平台】设备管理：设备名称较长，图形化显示时格式会乱</t>
  </si>
  <si>
    <t xml:space="preserve">[前置条件]
拥有操作权限的用户已登录证件在线监管系统，进入设备管理页[步骤]
1. 点击“新增”按钮；
2. 设备名称填写：特殊字符和字符长度ABCDE-111，其他填写完成后，点击“保存”/“关闭”按钮；
3.在图形化界面查看刚新增的设备。
[结果]
1. 自动跳转到添加界面
2. 保存后数据自动刷新，列表中新增一条信息
3. 图形化显示时格式会乱，如下图所示
&lt;img src="{41437.png}" alt="" /&gt;
[期望]
1. 自动跳转到添加界面；
2. 保存后数据自动刷新，列表中新增一条信息，点击“关闭”则不保存数据；
3. 界面显示正常
</t>
  </si>
  <si>
    <t>【系统平台】设备管理：新增设备，设备编号填写的字符较长但在合理范围内，保存报错</t>
  </si>
  <si>
    <t xml:space="preserve">[前置条件]
拥有操作权限的用户已登录证件在线监管系统，进入设备管理页[步骤]
1. 点击“新增”按钮；
2. 设备编号填写：1234567890-ABCDEF1234567890000，其他填写完成后，点击“保存”/“关闭”按钮。
[结果]
1. 自动跳转到添加界面
2. 设备编号，字符较长但在合理范围内，保存报错
&lt;img src="{41434.png}" alt="" /&gt;
[期望]
1. 自动跳转到添加界面；
2. 保存后数据自动刷新，列表中新增一条信息，点击“关闭”则不保存数据。
</t>
  </si>
  <si>
    <t>设备管理-设备管理-新增设备(82906)</t>
  </si>
  <si>
    <t>【系统平台】新增页，必填项提示，有多显示一行空白行</t>
  </si>
  <si>
    <t xml:space="preserve">[前置条件]
拥有操作权限的用户已登录证件在线监管系统[步骤]
1. 有新增功能的页面，点击新增，再新增页检查输入框必填项信息；
[结果]
1. 有些提示信息，与输入框多显示空白行，如下图所示
&lt;img src="{41433.png}" alt="" /&gt;
[期望]
1. 必填项存在相应提示；
</t>
  </si>
  <si>
    <t>【系统平台】设备管理：打开设备管理页，界面切换成列表显示，未关闭页面，切换其他页再进入设备管理页，自动切换成图形化显示</t>
  </si>
  <si>
    <t xml:space="preserve">[前置条件]
拥有操作权限的用户已登录证件在线监管系统，进入设备管理页[步骤]
1. 打开设备管理页，界面显示方式切换成列表显示，未关闭页面，切换其他页再进入设备管理页
[结果]
1. 设备管理页自动切换成图形化显示
[期望]
1. 建议未关闭页面的情况下，默认显示切换的界面方式
</t>
  </si>
  <si>
    <t>设备管理-设备管理-切换界面显示方式(82905)</t>
  </si>
  <si>
    <t>【系统平台】设备管理：查询条件“设备编号”，在列表界面不可输入特殊字符，在图形化界面可输入特殊字符查询，建议保持一致</t>
  </si>
  <si>
    <t>Windows 10  64位</t>
  </si>
  <si>
    <t>chrome</t>
  </si>
  <si>
    <t xml:space="preserve">[前置条件]
拥有操作权限的用户已登录证件在线监管系统，进入设备管理页[步骤]
1. 依次单个输入查询条件，点击查询
[结果]
1. 设备编号新增时可添加特殊字符，查询输入框则不可输入特殊字符，未保持一致
&lt;img src="{41427.png}" alt="" /&gt;
&lt;img src="{41429.png}" alt="" /&gt;
[期望]
1. 两个显示界面，建议查询条件保持一致
</t>
  </si>
  <si>
    <t>设备管理-设备管理-查询(82903)</t>
  </si>
  <si>
    <t>/其他需求/机电安全(#15643)</t>
  </si>
  <si>
    <t>【机电】漏电流126mA,设备要求的漏电流＜15mA</t>
  </si>
  <si>
    <t>[步骤]
1.耐压测试
[结果]
1.漏电流126mA,设备要求的漏电流＜15mA
[期望]
1.满足要求</t>
  </si>
  <si>
    <t>抗电强度试验(82530)</t>
  </si>
  <si>
    <t>【采集速度（48页）】实际采集速度4分43秒，需求要求＜3分50秒</t>
  </si>
  <si>
    <t>[前置条件]
1）48页的中国护照2）采集常光、红外光图片[步骤]
1.机械手取本开始计时
2.翻页完成送回单元格结束计时
[结果]
1.实际采集速度4分43秒，需求要求＜3分50秒
[期望]
1.满足需求</t>
  </si>
  <si>
    <t>本库取本翻页速度（含识别）＜4分钟/本(82393)</t>
  </si>
  <si>
    <t>模拟批量取证定位失败，没有弹窗提示也没有自动定位到下一个单元格取证</t>
  </si>
  <si>
    <t xml:space="preserve">[前置条件]
上层应用；
[步骤]：
1.提前存入多本证件
2.遮挡住F003色标
3.下批量取证任务
4.查看结果
[结果]
没有弹窗提示也没有自动定位到下一个单元格取证；
[期望]:
1.希望有异常的弹窗提示。
2.自动的定位到下一个单元格取证。
</t>
  </si>
  <si>
    <t>已关闭</t>
  </si>
  <si>
    <t>Closed</t>
  </si>
  <si>
    <t>模拟批量取证定位失败，自动定位下一格取证(87143)</t>
  </si>
  <si>
    <t>模拟批量存证定位失败，没有自动定位下一格存证</t>
  </si>
  <si>
    <t xml:space="preserve">[前置条件]
上层应用；
[步骤]：
1.遮挡住F003色标
2.批量下存证任务
3.查看存证的动作和结果
[结果]
批量存证在没有检测到色标的时候，没有跳到下一个格子存证。
[期望]:
1.希望可以在存证没有检测到当前色标的时候可以跳到下一个格子存证
</t>
  </si>
  <si>
    <t>模拟批量存证定位失败，自动定位下一格存证(87142)</t>
  </si>
  <si>
    <t>模拟盘点定位失败（遮挡首位色标），没有跳到下一个单元格盘点（未遮挡）。</t>
  </si>
  <si>
    <t xml:space="preserve">[前置条件]
上层应用；
[步骤]：
1.在F001,F002,F003,F004放置证件照
2.遮挡住首位色标位置
3.开始盘点
[结果]
盘点中途有重试动作，没有找到首位后也没有跳过下一个单元格盘点；
[期望]:
1.希望在其中一个位置色标未检测到后可以跳转到下一个单元格继续盘点。
</t>
  </si>
  <si>
    <t>模拟盘点定位失败，继续盘点，最终报错提示(87146)</t>
  </si>
  <si>
    <t>证件样本(朱可宁）采集的所有证件页照片为空，资料页有详细信息（多次采集都是同样的问题）</t>
  </si>
  <si>
    <t xml:space="preserve">[前置条件]
上层应用；
[步骤]：
1.进入到采集模块
2.下发采集任务
[结果]
证件样本（朱可宁）的后台证件照片为空，资料页右侧的详细信息会显示。
&lt;img src="{45397.png}" alt="" /&gt;
[期望]:
1.可以正常的呈现采集的证件图片。
</t>
  </si>
  <si>
    <t>S41_V7.0_20250619(#4439)</t>
  </si>
  <si>
    <t>上层App，部分任务完后后查看未查询到采集的图片信息</t>
  </si>
  <si>
    <t xml:space="preserve">[前置条件]
上层应用；
[步骤]：
1.登录管理员页面
2点击护照采集，进入护照采集中心
3.点击【今日已采集】
4.点击【查看】
[结果]
部分任务点击查看后显示”未查询到采集的图片信息“
&lt;img src="{45347.jpeg}" alt="" /&gt;
[期望]:
1.希望每次采集完成的任务都可以点击查看后查询采集的图片信息。
</t>
  </si>
  <si>
    <t>浏览今日采集护照信息图片(85702)</t>
  </si>
  <si>
    <t>清点结果未把相应的卡盒异常数据同步到后台数据库中</t>
  </si>
  <si>
    <t xml:space="preserve">[前置条件]
上层应用，后台管理平台，
[步骤]：
1.上层应用点击清点
2.查看后台管理平台的卡盒信息
[结果]
上层app的盘点卡盒结果信息在后台卡盒信息中无法查询到（结果为空）
&lt;img src="{45325.png}" alt="" /&gt;
  &lt;img src="{45326.png}" alt="" /&gt;
[期望]:
1.上层的清点结果数据可以同步到后台管理卡盒数据库中。
</t>
  </si>
  <si>
    <t>清点过程中断网再恢复网络(82517)</t>
  </si>
  <si>
    <t>没有在对应的路径上生成双目摄像头的抓怕图片</t>
  </si>
  <si>
    <t xml:space="preserve">[前置条件]
上层应用；
[步骤]：
&lt;img src="{45291.jpg}" alt="" /&gt;
1.在配置工具中启用双目摄像头
2.管理员登录、用户登录证件保管柜
3.正常的执行登录、存证、取证、采集等等一系列用户操作
[结果]
&lt;img src="{45293.jpg}" alt="" /&gt;
在/opt/Emperor/bin/证件保管柜/programdata/Photoimage没有找到任何图片文件
[期望]:
1.双目摄像头可以正常的工作且抓取到图片后存储到对应的文件夹。
</t>
  </si>
  <si>
    <t>双目摄像头抓拍及路径(76046)</t>
  </si>
  <si>
    <t>管理员页面，点击收本箱开门无反应</t>
  </si>
  <si>
    <t xml:space="preserve">[前置条件]
上层应用；
[步骤]：
1.管理员模式
2.点击右下角的收本箱按钮
[结果]
收本箱无反应（详情看附件video）
[期望]:
1.管理员界面，点击收本箱会自动开门。
</t>
  </si>
  <si>
    <t>管理员页面有存证按钮(84313)</t>
  </si>
  <si>
    <t>/用户登录(#16556)</t>
  </si>
  <si>
    <t>账号密码登陆验证（账号密码无法登录，指纹可以正常登录）</t>
  </si>
  <si>
    <t xml:space="preserve">[前置条件]
上层应用；
[步骤]：
1.点击注册账号密码
2.进入自助登录页面
3.输入账号密码
[结果]
登录失败，账号或者密码失败（指纹可以正常登录）。
&lt;img src="{45187.png}" alt="" /&gt;
[期望]:
1.可以正常的通过账号密码登录
</t>
  </si>
  <si>
    <t>账号密码登陆验证（账号密码正常，登录成功；异常，登录失败）(82421)</t>
  </si>
  <si>
    <t>[注册新用户]点击重新采集指纹，未采集指纹也注册成功；确认后获取数据弹窗长时间加载，点击退出弹窗显示空白。（无法退出程序）</t>
  </si>
  <si>
    <t xml:space="preserve">[前置条件]
上层应用；
[步骤]：
1.管理员模式，点击注册新用户
2.新用户界面，正常输入用户名，密码
3.点击指纹，重新收集指纹
4.不采集指纹
&lt;img src="{45166.jpg}" alt="" /&gt;
&lt;img src="{45167.jpg}" alt="" /&gt;
[结果]
1.点击重新采集指纹，不采集指纹也能正常注册新用户；
2.点击注册成功后，返回主界面弹窗加载界面（一直加载不结束，点击退出按钮显示空白弹窗）
[期望]:
1.希望提示需要采集指纹。
2.点击注册成功后，主界面弹窗获取相关数据正常，点击弹窗退出后正常。
</t>
  </si>
  <si>
    <t>用户注册_数据验证(88103)</t>
  </si>
  <si>
    <t>存证的中途出现黑屏1s的异常（出现好几次）</t>
  </si>
  <si>
    <t xml:space="preserve">[前置条件]
上层App；
[步骤]：
1.上层App
2.正常的进行单本多次存证操作
[结果]
有出现在单本多次存证的时候有出现一次1s的黑屏异常。
[期望]:
1.希望多次Loop 存证都是不会出现黑屏，正常显示。
</t>
  </si>
  <si>
    <t>【深圳外办试点问题】客户反馈设备有异响，出现连续2天出现。</t>
  </si>
  <si>
    <t xml:space="preserve">
</t>
  </si>
  <si>
    <t>【深圳外办试点问题】异常结束:[19906030]执行到翻页开始位置动作之前检测到拨页杆不在原点位置SE043。开门检查的时候是有一本证在横移小车和右机械手之间。</t>
  </si>
  <si>
    <t>【深圳外办试点问题】异常结束：[19906030]执行到翻页开始位置动作之前检测到拨页杆不在原点位置。</t>
  </si>
  <si>
    <t>【深圳外办试点问题】查询文采状态失败：[1026]DIS:外设服务执行异常。</t>
  </si>
  <si>
    <t>【深圳外办试点问题】工程反馈：已经按完指纹，然后门都已经开了。点返回它会回到这个指纹界面。</t>
  </si>
  <si>
    <t>【深圳外办试点问题】17:16，下发采集任务，出现问题【1007】DIS：设备应答超时。【10165】左机械手上已经有本，无法从翻转模块取本到左机械手。工程现场复位2次后，能正常采集。</t>
  </si>
  <si>
    <t>【深圳外办试点问题】9:47，第一次整机复位设备没有动作 整机关机 断电半分钟，重启复位 这里卡住。</t>
  </si>
  <si>
    <t>【深圳外办试点问题】17:10，【1007】DIS：设备应答超时。</t>
  </si>
  <si>
    <t>【深圳外办试点问题】算法会卡死没返回，调用识别接口超时时间设置成30秒，30秒都收不到识别结果。</t>
  </si>
  <si>
    <t>【深圳外办试点问题】现场出现1次，请求机械手从翻转模块内部取本失败，复位后报错，提示【225】启动转盘转动到指定卡片位置时获取的X参数超过最大值。</t>
  </si>
  <si>
    <t>【深圳外办试点问题】设备噪音有点大。</t>
  </si>
  <si>
    <t>【深圳外办试点问题】单本存证，证件放斜，闸门会立即抬起卡本，闸门抬升逻辑建议优化</t>
  </si>
  <si>
    <t>【深圳外办试点问题】查找取出正在采集任务中的证件比较麻烦。</t>
  </si>
  <si>
    <t>【深圳外办试点问题】采集异常的能实现单独界面展示，方便排查。</t>
  </si>
  <si>
    <t>【深圳外办试点问题】两本国徽识别失败（取出证件国徽图案确实偏浅）</t>
  </si>
  <si>
    <t xml:space="preserve">&lt;img src="{44440.png}" alt="" /&gt;
</t>
  </si>
  <si>
    <t>【深圳外办试点问题】存在误识别成验讫章的情况，有一页上面没有验讫章，却识别成验讫章（识别到：入境、爱尔兰）。</t>
  </si>
  <si>
    <t xml:space="preserve">&lt;img src="{44437.png}" alt="" /&gt;
</t>
  </si>
  <si>
    <t>【深圳外办试点问题】验讫章存在漏识别的情况？页面有5个验讫章，界面展示的验讫章数据有5条，但有2条内容一致，且定位到的是同一个验讫章，有一个很清晰的验证却没有标识出来。</t>
  </si>
  <si>
    <t xml:space="preserve">&lt;img src="{44436.png}" alt="" /&gt;
</t>
  </si>
  <si>
    <t>【深圳外办试点问题】查看图片，建议能通过鼠标按键，能进行切换查看，方便浏览。</t>
  </si>
  <si>
    <t>【深圳外办试点问题】图像展示界面，每张图片底部的黑色文字标识框，若图片边边刚好有内容的话，会被挡住，不方便查看信息。</t>
  </si>
  <si>
    <t>【深圳外办试点问题】目前需要确认入库后才能查看轨迹信息，建议能直接查看，不需要确认。</t>
  </si>
  <si>
    <t>【深圳外办试点问题】有的签证图片，右边展示的签证识别信息，会重复显示（2-3条），尤其是日本签证。</t>
  </si>
  <si>
    <t>【深圳外办试点问题】图像展示界面，需要增加分类查找功能，能快速的筛选出资料页、签证页、验讫章页。</t>
  </si>
  <si>
    <t>【深圳外办试点问题】麒麟工控机和rk3588的网络连不上，重新上电后正常。</t>
  </si>
  <si>
    <t>【深圳外办试点问题】设备采集过程中检测到设备开门后，弹出需要复位，复位后报错10116（左读写器发本到单元格检测到抓本模块无本）。</t>
  </si>
  <si>
    <t>EMP7892D：跑两天底层维护软件盘点老化后，触摸屏触摸无反应，鼠标光标不显示</t>
  </si>
  <si>
    <t xml:space="preserve">[步骤]
1.底层维护软件盘点老化两天
[结果]
1.触摸屏触摸没有反应
2.接上鼠标可以进行操作，但是鼠标光标不显示
[期望]
</t>
  </si>
  <si>
    <t>文采故障，证件没有退回到单元格</t>
  </si>
  <si>
    <t xml:space="preserve">1.模拟文采故障，先下采集任务，在翻转模块下放个卡片，挡住传感器，提示文采故障，点击禁用文采，设备复位完成，送到翻转模块的证件没有退回到单元格
2.下发采集任务，用卡片挡住文采进出口，文采报错，点击禁用文采，设备复位，没有把证件送回单元格
</t>
  </si>
  <si>
    <t>自助存证时，正确放本到进本口，也有概率报10621本可能竖着放进</t>
  </si>
  <si>
    <t xml:space="preserve">自助存证时，正确放本到进本口，也有概率报10621本可能竖着放进
</t>
  </si>
  <si>
    <t>批量取证过程中，在机械手抓取到本后，按下机械手按钮，电梯会移动，取证流程还在执行，电梯和横移小车不在衔接位置，机械手往外送本就会送到单元格</t>
  </si>
  <si>
    <t xml:space="preserve">批量取证过程中，在机械手抓取到本后，按下机械手按钮，电梯会移动，取证流程还在执行，电梯和横移小车不在衔接位置，机械手往外送本就会送到单元格
</t>
  </si>
  <si>
    <t>模拟出本模块有本，报错后，复位过程中把本存入单元格，没有把证件标记为异常证件</t>
  </si>
  <si>
    <t xml:space="preserve">模拟出本模块有本，报错后，复位过程中把本存入单元格，没有把证件标记为异常证件
</t>
  </si>
  <si>
    <t>模拟出本模块有本，进行存证、取证、清点、盘点任务，报80013后点击确认，设备复位有可能把本存入单元格</t>
  </si>
  <si>
    <t xml:space="preserve">模拟出本模块有本，进行存证、取证、清点、盘点任务，报80013后点击确认，设备复位有可能把本存入单元格
</t>
  </si>
  <si>
    <t>80017报错提示语有误（本箱出本口有本），预期：发本箱出本口有本</t>
  </si>
  <si>
    <t xml:space="preserve">80017报错提示语有误（本箱出本口有本），预期：发本箱出本口有本
</t>
  </si>
  <si>
    <t>背脊朝里存证，下发采集任务，采集时把本整体吸起来，结束翻页后，本在下落时位置可能会偏移，在退本时有可能伤本</t>
  </si>
  <si>
    <t xml:space="preserve">背脊朝里存证，下发采集任务，采集时把本整体吸起来，结束翻页后，本在下落时位置可能会偏移，在退本时有可能伤本
</t>
  </si>
  <si>
    <t>正常自助存本，有概率报10621本可能是竖着放进，没有把本吐出，立马报80013出口模块有本</t>
  </si>
  <si>
    <t xml:space="preserve">正常自助存本，有概率报10621本可能是竖着放进，没有把本吐出，立马报80013出口模块有本
</t>
  </si>
  <si>
    <t>启用文采服务前，文采状态是空闲，启用服务设备复位完成后，有概率出现报错，文采故障1990604</t>
  </si>
  <si>
    <t xml:space="preserve">启用文采服务前，文采状态是空闲，启用服务设备复位完成后，有概率出现报错，文采故障1990604
</t>
  </si>
  <si>
    <t>横移小车有一个胶轮损坏</t>
  </si>
  <si>
    <t xml:space="preserve">横移小车有一个胶轮损坏
</t>
  </si>
  <si>
    <t>10554提示语：从机械手侧接本时，走完相应步数，但未能将卡片搓到发卡侧，预期：卡片改为证件</t>
  </si>
  <si>
    <t xml:space="preserve">10554提示语：从机械手侧接本时，走完相应步数，但未能将卡片搓到发卡侧，预期：卡片改为证件
</t>
  </si>
  <si>
    <t>取证时，左电梯往横移小车送本，报10554从机械手侧接本时，走完相应步数，但未能将卡片搓到发卡侧</t>
  </si>
  <si>
    <t xml:space="preserve">取证时，左电梯往横移小车送本，报10554从机械手侧接本时，走完相应步数，但未能将卡片搓到发卡侧
</t>
  </si>
  <si>
    <t>启动上层应用，文采模块有概率出现故障（9995）DIS 尚未连接成功</t>
  </si>
  <si>
    <t xml:space="preserve">启动上层应用，文采模块有概率出现故障（9995）DIS 尚未连接成功
</t>
  </si>
  <si>
    <t>文采故障（19905003）算法服务识别失败</t>
  </si>
  <si>
    <t xml:space="preserve">1.下发采集任务，设备采集过程中，退出上层应用，重启上层应用报1007 DIS应答超时，点击确认后，设备复位，进入护照
采集界面，文采状态：故障（19905003）算法服务识别失败
2.下发采集任务后，设备在采集过程中，下发存证、取证任务，存证、取证、采集任务完成后，再下发采集任务，设备报文采模块故障（19905003）算法服务失败失败
3.下10本采集任务，采集到第9本，文采故障19905003
</t>
  </si>
  <si>
    <t>长按文采模块调试按钮，有概率导致主板通讯出现问题，维护软件操作无法执行</t>
  </si>
  <si>
    <t xml:space="preserve">长按文采模块调试按钮，有概率导致主板通讯出现问题，维护软件操作无法执行
</t>
  </si>
  <si>
    <t>卡本出口模块，左右电梯有证伸出时，点击横移小车复位，横移小车会移动，会照成伤本</t>
  </si>
  <si>
    <t xml:space="preserve">卡本出口模块，左右电梯有证伸出，点击横移小车复位，横移小车会移动，会照成伤本
</t>
  </si>
  <si>
    <t>做老化盘点时，横移小车送本到右电梯，本已经送到相应位置，横移小车会尝试重新送本</t>
  </si>
  <si>
    <t xml:space="preserve">做老化盘点时，横移小车送本到右电梯，本已经送到相应位置，横移小车会尝试重新送本
</t>
  </si>
  <si>
    <t>EMP7892D:触发了横移小车通道电机保护，复位无法正常恢复，需要物理上下电</t>
  </si>
  <si>
    <t xml:space="preserve">批量存本时，批量发本箱发双本（红本），走完相应步数未把本搓到横移小车，触发了横移小车通道电机保护，复位无法正常恢复，需要物理上下电
</t>
  </si>
  <si>
    <t>EMP7892D：横移小车和卡本出口模块衔接出现偏移，导致本没有送到卡本出口模块</t>
  </si>
  <si>
    <t xml:space="preserve">使用国产化维护软件跑盘老化，横移小车和卡本出口模块衔接出现偏移，导致本没有送到卡本出口模块
</t>
  </si>
  <si>
    <t>【文采】翻转模块有证件，提示失败，19：13弹出报错【1026外设复位执行异常】</t>
  </si>
  <si>
    <t xml:space="preserve">[步骤]
1.翻转模块有证件，提示失败
[结果]
1.弹出报错【1026外设复位执行异常】
[期望]
1.优化外设
&lt;img src="{43425.png}" alt="" /&gt;
</t>
  </si>
  <si>
    <t>【文采】证件正在文采模块里采集，模拟突然断电,复位时，横移小车往左移动</t>
  </si>
  <si>
    <t xml:space="preserve">[步骤]
1证件正在文采模块里采集，模拟突然断电
[结果]
1复位时，撞到横移小车
[期望]
1.优化逻辑
&lt;img src="{43424.png}" alt="" /&gt;
</t>
  </si>
  <si>
    <t>【文采禁用启用】下发采集任务后，挡住翻转模块传感器使得文采模块故障，设备报错提示禁用文采模块，禁用并复位后，重新启用，再次复位时，护照本被丢到废本箱，而后台显示该护照“在库”</t>
  </si>
  <si>
    <t>[步骤]
1. 下发护照“韩祯荔”的采集任务；
2. 挡住翻转模块传感器使得文采模块故障
[结果]
1. 下发护照“韩祯荔”的采集任务；
2. 挡住翻转模块传感器使得文采模块故障，设备报错提示禁用文采模块；
3. 禁用并复位；
4. 重新启用，再次复位时，护照本被丢到废本箱，而后台显示该护照“在库”：
&lt;img src="{43420.png}" alt="" /&gt;
[期望]
1. 无异常</t>
  </si>
  <si>
    <t>wangbing</t>
  </si>
  <si>
    <t>禁用文采服务时，设备正在采集(85700)</t>
  </si>
  <si>
    <t>【文采】启动上层，选择管理员的指纹方式登陆，进入主界面后，护照采集功能页码消失--（多次出现）</t>
  </si>
  <si>
    <t>[步骤]
1.启动上层，选择管理员的指纹方式登陆
[结果]
1.进入主界面后，护照采集功能页码消失
[期望]
1.优化功能</t>
  </si>
  <si>
    <t>【后台-浏览采集的电子护照图片】图像放大后无法拖拽，使得靠近边缘信息无法查看</t>
  </si>
  <si>
    <t>[前置条件]
完成一本护照的图片采集[步骤]
1. 浏览采集的图片及图片信息
[结果]
1. 图像放大后无法拖拽，使得靠近边缘信息无法查看：
&lt;img src="{43404.png}" alt="" /&gt;
[期望]
1. 可以查看完整图像信息</t>
  </si>
  <si>
    <t>后台-浏览采集的电子护照图片(85932)</t>
  </si>
  <si>
    <t>【后台-签证页信息识别】有一本护照的所有签证的信息显示一样</t>
  </si>
  <si>
    <t>[步骤]
1. 登陆后台系统-系统管理-签注管理
[结果]
1. 有一本护照的所有签证的信息显示一样（*采集了两本带签证信息的护照，只有这本护照出错）：
&lt;img src="{43402.png}" alt="" /&gt;
&lt;img src="{43401.png}" alt="" /&gt;
[期望]
1. 显示无误</t>
  </si>
  <si>
    <t>后台-签证页信息识别（带MRZ码类签证）(85716)</t>
  </si>
  <si>
    <t>【后台-资料页信息识别】任何护照采集，资料页的签发机关均固定为“公安部出入境管理局”，需要根据实际签发机关进行显示</t>
  </si>
  <si>
    <t xml:space="preserve">[步骤]
1. 登陆后台系统-证件管理-证件列表
[结果]
1. 任何护照采集，资料页的签发机关均固定为“公安部出入境管理局”，需要根据实际签发机关进行显示：
1）无签发机关的护照：
&lt;img src="{43392.png}" alt="" /&gt;
&lt;img src="{43393.png}" alt="" /&gt;
2）签发机关为外交部的护照：
&lt;img src="{43394.png}" alt="" /&gt;
[期望]
1.需要根据实际签发机关进行显示
</t>
  </si>
  <si>
    <t>后台-资料页信息识别(85715)</t>
  </si>
  <si>
    <t>【后台-浏览采集的电子护照图片】只采集了一次的护照，有部分页面提示为“更新”，提示错误</t>
  </si>
  <si>
    <t>[前置条件]
完成一本新的护照的图片采集[步骤]
1. 进入后台，在护照列表，选择已采集的护照，点击“更多&gt;电子护照”
2. 浏览采集的图片及图片信息
[结果]
1. 只采集了一次的护照，有部分页面提示为“更新”，提示错误：
&lt;img src="{43409.png}" alt="" /&gt;
[期望]
1. 提示正确</t>
  </si>
  <si>
    <t>【后台-签证页信息识别】签证的签发国家只显示国家编码，没有显示国家名称</t>
  </si>
  <si>
    <t>[步骤]
1. 登陆后台系统-系统管理-签注管理
[结果]
1. 签证的签发国家只显示国家编码，没有显示国家名称：
&lt;img src="{43390.png}" alt="" /&gt;
[期望]
1. 对标文采产品，需要显示国家名称</t>
  </si>
  <si>
    <t>文采出本失败，出本的电机胶轮脱胶</t>
  </si>
  <si>
    <t xml:space="preserve">1.跑采集老化，出现文采出本失败，经检查是出本的电机胶轮脱胶导致
</t>
  </si>
  <si>
    <t>文采采集资料页信息与表面完全未做核对，即证件信息是张三，芯片信息是李四，都当成OK</t>
  </si>
  <si>
    <t>EMPS431_V5.0_20250303(#4318)</t>
  </si>
  <si>
    <t>所有证件资料页签发日期显示都是错误的</t>
  </si>
  <si>
    <t>横移小车插入一本证，进行复位操作，每次都无法自动清机成功。</t>
  </si>
  <si>
    <t>设备开门步骤很复杂，很不方便。需要先管理员登录，再进入到设备维护，再点击其他，再点击开门，再按下指纹。</t>
  </si>
  <si>
    <t>本进证口位置没调好，很容易进证失败，进证模块需要往下调。</t>
  </si>
  <si>
    <t xml:space="preserve">[步骤]
[结果]单本进证口位置没调好，很容易进证失败，进证模块需要往下调。
[期望]
</t>
  </si>
  <si>
    <t>文采采集故障干涉存取证业务运行</t>
  </si>
  <si>
    <t xml:space="preserve">[步骤]文采模块采集过程中，挡住翻转模块本检测传感器，模拟翻转失败
[结果]正常提示翻转模块有证【10166】。点击"确定"或"取消"都在复位。以致界面占用，无法正常存取证（文采采集故障不该干涉存证证业务）。
[期望]提示文采采集故障后，能禁用采集，不影响存取证。
</t>
  </si>
  <si>
    <t>设备存满时，后台下发存证任务，提示【700301】设备异常，请稍后重试。应该提示设备已存满。</t>
  </si>
  <si>
    <t xml:space="preserve">[步骤]可先通过禁用觉大多数证库位置，再存满证件
[结果]设备存满时，后台下发存证任务，提示【700301】设备异常，请稍后重试。应该提示设备已存满。
[期望]提示设备已存满。
</t>
  </si>
  <si>
    <t>禁用采集模块，下发采集任务，后台任务管理状态，显示执行成功。建议显示执行失败，且字标记红色。</t>
  </si>
  <si>
    <t xml:space="preserve">[步骤]禁用文采模块，后台下发采集任务
[结果]后台任务管理状态，显示执行成功，应该显示执行失败，且字标记红色，详情里提示"设备故障已禁用采集功能"
[期望]显示执行失败，且字标记红色。
</t>
  </si>
  <si>
    <t>文采模块初始化时，未判断设备状态</t>
  </si>
  <si>
    <t xml:space="preserve">[步骤]拔掉文采模块电源线，打开门，关闭门，自动初始化后，
[结果]文采模块初始化时，未判断设备状态（状态为初始化中，应该提示初始化失败故障）
[期望]初始化检测到失败，状态变为故障
</t>
  </si>
  <si>
    <t>EMP7892D：横移小车和左右电梯衔接位置，有概率出现走完相应步数后，未把本搓到相应位置</t>
  </si>
  <si>
    <t xml:space="preserve">1.做批量存本时，左电梯和横移小车衔接位置，横移小车有本未送到左机械手，报10181左电梯升降前衔接位置时，检测到横移小车模块有本伸出到机械手方向
2.跑采集老化，横移小车和右机械手衔接位置（蓝本），本未完全送到位置，报10554从机械手侧接本时，走完相应步数但未将卡片搓到发卡侧
</t>
  </si>
  <si>
    <t>EMP7892D：下发很多采集任务未取消时退出软件，重启软件后采集任务开始执行，上层软件 异常卡顿，无法登录管理员界面，使用指纹登录时无法调用指纹仪、指示灯也 没有打开</t>
  </si>
  <si>
    <t xml:space="preserve">下发很多采集任务未取消时退出软件，重启软件后采集任务开始执行，上层软件
异常卡顿，无法登录管理员界面，使用指纹登录时无法调用指纹仪、指示灯也
没有打开
</t>
  </si>
  <si>
    <t>EMP7892D：文采出本时报故障，报采集任务终止:用户取消或故障（10039）</t>
  </si>
  <si>
    <t xml:space="preserve">1.下发采集任务，采集完成后文采出本时报故障，报采集任务终止:用户取消或故障（10039）
</t>
  </si>
  <si>
    <t>EMP7892D：模拟文采模块异常，拔掉与主控板通信的U口10S，重新插回去后，一直复位 恢复不了通信（复位5次）</t>
  </si>
  <si>
    <t xml:space="preserve">模拟文采模块异常，拔掉与主控板通信的U口10S，重新插回去后，一直复位
恢复不了通信（复位5次）
</t>
  </si>
  <si>
    <t>EMP:7892D:文采模块翻页时会折证件本的纸张，采集过后每一页都有折痕</t>
  </si>
  <si>
    <t xml:space="preserve">文采模块翻页时会折证件本的纸张，采集过后每一页都有折痕
</t>
  </si>
  <si>
    <t>EMP7892D:横移小车出本到卡本出口模块时，出现卡本出口模块没有抓取到本，横移小车 一直处于送本状态，卡本出口模块电机和横移小车电机一直旋转</t>
  </si>
  <si>
    <t xml:space="preserve">横移小车出本到卡本出口模块时，出现卡本出口模块没有抓取到本，横移小车
一直处于送本状态，卡本出口模块电机和横移小车电机一直旋转
</t>
  </si>
  <si>
    <t>EMP7892D：存本时有存偏的情况</t>
  </si>
  <si>
    <t xml:space="preserve">1.维护软件做组合动作存本时出现本存偏的情况，左下盘单元格255
2.上层软件做采集任务时报错后退本到本盘，出现一次存本存偏
</t>
  </si>
  <si>
    <t>EMP7892D：执行完上一个单步动作后，点击执行下一步动作有概率出现报错提示</t>
  </si>
  <si>
    <t xml:space="preserve">维护软件在执行完上一个单步动作后，点击执行下一步动作有概率出现报错提示
</t>
  </si>
  <si>
    <t>/安装部署(#16992)</t>
  </si>
  <si>
    <t>EMP7892D：使用DownLoadTool软件下载程序，导致翻转模块控制板异常，无法正常工作</t>
  </si>
  <si>
    <t xml:space="preserve">使用DownLoadTool软件下载程序，导致翻转模块控制板异常，无法正常工作
</t>
  </si>
  <si>
    <t>/其他需求(#15616)</t>
  </si>
  <si>
    <t>读写器固件未更新，导致读写出现一次失败。</t>
  </si>
  <si>
    <t xml:space="preserve">[步骤]
[结果]读写器固件未更新，导致读写出现一次失败。
[期望]
</t>
  </si>
  <si>
    <t>/主要功能模块/批量存本箱(#15617)</t>
  </si>
  <si>
    <t>自助存证多条任务，存一本超时后，有时会存证异常。</t>
  </si>
  <si>
    <t xml:space="preserve">[步骤]后台下3本自助存证业务，点击自存存证，刷身份证
[结果]自助存证一本正常后，等到30秒倒计时，再次点自助存证，刷身份证后，到了自助存证页面，但是自助口门没有打开，灯也没亮。（第二次这么操作却是正常的）
[期望]自存存证都正常。
</t>
  </si>
  <si>
    <t>文采模块接线不够整齐。</t>
  </si>
  <si>
    <t xml:space="preserve">[步骤]
[结果]文采模块接线不够整齐。
[期望]
</t>
  </si>
  <si>
    <t>翻转模块有本检测传感器，所检测的位置处理临界状态，无本有时也会检测到有本。</t>
  </si>
  <si>
    <t>翻转模块有本，文采推杆也推出来时，无法正常复位。</t>
  </si>
  <si>
    <t>正常的翻转模块有本时（此时本下面的推杆是出来的），点击复位，提示文采模块故障：【10903】上电机翻转到竖直位置失败。应该正常复位。</t>
  </si>
  <si>
    <t>机械手送本有明显硬件摩擦声。</t>
  </si>
  <si>
    <t>存取证操作，机械手送本有明显硬件摩擦声。</t>
  </si>
  <si>
    <t>关闭动力电，点击自助存证，软件自动退出。</t>
  </si>
  <si>
    <t xml:space="preserve">[步骤]关闭动力电，点击自助存证
[结果]关闭动力电，点击自助存证，软件自动退出。
[期望]提示正确的故障信息。
</t>
  </si>
  <si>
    <t>模拟发本箱带本，批量存证报错不正确。</t>
  </si>
  <si>
    <t xml:space="preserve">[步骤]1.手动将发本箱本推出一半，模拟发本带本出来的情况。
2.点击批量存证。
[结果]提示【10055】发本箱有本伸出。此时复位，误报【10130】，批量取证口有证。
[期望]1.不出现伤本情况。
2.横移小车不可移动，弹框提示发本箱检测到出本的错误，且发证箱不发证（避免可能造成伤本）
</t>
  </si>
  <si>
    <t>模拟发本箱带本，自助取证产生回收证，及报错不正确。</t>
  </si>
  <si>
    <t xml:space="preserve">[步骤]1.手动将发本箱本推出一半，模拟发本带本出来的情况。
2.点击自助取证。
[结果]提示【10055】发本箱有本伸出，同时还将本取到了机械手。此时复位，误报【10130】，批量取证口有证。
建议：提示【10055】发本箱有本伸出后，不将本取出到机械手。
[期望]1.不出现伤本情况。
2.横移小车不可移动，弹框提示发本箱检测到出本的错误，且爪子不取出证（避免丢到旧证回收箱，需要管理员开门）
</t>
  </si>
  <si>
    <t>模拟发本箱带本，自助存证产生回收证，及报错不正确。</t>
  </si>
  <si>
    <t xml:space="preserve">[步骤]1.手动将发本箱本推出一半，模拟发本带本出来的情况。
2.点击自助存证。
[结果]提示【10055】发本箱有本伸出，同时还会进一本证到进证口。此时复位，误报【10130】，批量取证口有证。
建议：提示【10055】发本箱有本伸出后，不将本收到进本口
[期望]1.不出现伤本情况。
2.横移小车不可移动，弹框提示发本箱检测到出本的错误，且进本口不进证（避免丢到旧证回收箱，需要管理员开门）
</t>
  </si>
  <si>
    <t>文采采集过程中退出软件，再次打开，动作异常(机械手报错，横移小车却移动了)</t>
  </si>
  <si>
    <t xml:space="preserve">[步骤]文采采集过程中退出软件，再次打开
[结果]文采采集动作完成在送回本库时，退出软件，再次打开上层软件，设备自动复位时，提示【10701】抓本机械手复位时发现有本，多次重试夹本到中间有本检测传感器处失败，此时横移小车在发本位置（正常该报错应该在机械手位置才对）。
[期望]正常复位、清理通道。
</t>
  </si>
  <si>
    <t>证件正在文采模块里采集，模拟突然断电,复位未能正常清机。</t>
  </si>
  <si>
    <t xml:space="preserve">[步骤]证件正在文采模块里采集，模拟突然断电，再开电，打开上层软件
[结果]证件从文采模块送到翻转模块，并提示【10166】翻转模块复位时，和文采衔接的通道检测到有本，点复位还是这样。应该启动自动复位就清理到回收箱。
[期望]通道证件清理到回收箱。
</t>
  </si>
  <si>
    <t>EMP7892D_V6.0_20250306(#4323)
EMPS431_V5.0_20250303(#4318)</t>
  </si>
  <si>
    <t>单式模式下/正式模式下，图片删除时间设置的2天，实际没有删除</t>
  </si>
  <si>
    <t xml:space="preserve">[步骤]1. 设置采集图像保留数据2天查看路径/opt/Emperor/bin/证件保管柜/PythonCall/dmp_serv/static/CollectionData/pythonCall/config.py#采集文件保留时长
COLLECTIONSAVEDAYS=2
2.先从后台下采集任务，再进行模拟断网未上传，修改系统时间，再看它是否会删除图片
[结果]单式模式下/正式模式下，图片删除时间设置的2天，实际没有删除（4天前的都看到还在，联网上传成功的会立马删除）
[期望]1. 单机模式，按配置的保留的时间，清除过期的采集数据
，正式模式下成功上传到后台后即刻清除设备端采集的
图片
2.保证删除图片已经上传成功，仅针对采集完成的图片，异常流程按时间来删除
</t>
  </si>
  <si>
    <t>拔掉文采模块，弹框正常DIS没有连上，点击"确定",设备进行复位，应该再次立马再次提示没有dis连接失败（复位无意义，耽误时间）</t>
  </si>
  <si>
    <t xml:space="preserve">[步骤]
[结果]拔掉文采模块，弹框正常DIS没有连上，点击"确定",设备进行复位，应该再次立马再次提示没有dis连接失败（复位无意义，耽误时间）
[期望]
</t>
  </si>
  <si>
    <t>【盘点】底层老化盘点出现，出现报错未抓取到证件，翻转模块的本盒无证</t>
  </si>
  <si>
    <t xml:space="preserve">[步骤]
1.底层老化盘点
[结果]
1.出现报错未抓取到证件，翻转模块的本盒无证
[期望]
1.盘点稳定
、&lt;img src="{42436.png}" alt="" /&gt;&lt;img src="{42437.png}" alt="" /&gt;
</t>
  </si>
  <si>
    <t>S431_V4.0_20241129(#4228)</t>
  </si>
  <si>
    <t>【盘点】盘点时出现抓本机械手伸出失败</t>
  </si>
  <si>
    <t xml:space="preserve">[步骤]
1.底层老化盘点
[结果]
1.盘点时出现抓本机械手伸出失败
[期望]
1.老化盘点稳定
&lt;img src="{42432.png}" alt="" /&gt;&lt;img src="{42433.png}" alt="" /&gt;
</t>
  </si>
  <si>
    <t>EMP7892D_V4.0_20241129(#4225)</t>
  </si>
  <si>
    <t>【文采】设备采集图片需要传到后台，如果同本护照之前采集过整本，本轮只采集5页，只会覆盖前面得页数，之前采集在后台的不会删除，建议传好后，后台/设备有提示，如果不需要删除之前后台的图片，新采集的护照页有标记​</t>
  </si>
  <si>
    <t xml:space="preserve">[步骤]
1.后台下发文采采集任务---开始采集
[结果]
1.设备采集图片需要传到后台，如果同本护照之前采集过整本，本轮只采集5页，只会覆盖前面得页数，之前采集在后台的不会删除
[期望]
1.建议传好后，后台/设备有提示，或者传输倒计时
2.如果不需要删除之前后台的图片，新采集的护照页有标记
&lt;img src="{42431.png}" alt="" /&gt;
</t>
  </si>
  <si>
    <t>【文采】放一张卡堵在文采入口，下发采集任务​ ，推杆送本失败，没有报错信息，过了一段时间再次推本，伤本更严重了</t>
  </si>
  <si>
    <t xml:space="preserve">[步骤]
1.放一张卡堵在文采入口，下发采集任务
[结果]
1.推杆送本失败，没有报错信息，过了一段时间再次推本伤本更严重了
[期望]
1.推本失败后，就报错提示，不再继续推本
&lt;img src="{42429.png}" alt="" /&gt;&lt;img src="{42430.png}" alt="" /&gt;
</t>
  </si>
  <si>
    <t>【签证页信息】签证页地点信息没有识别出来，也需要把空位留出来</t>
  </si>
  <si>
    <t xml:space="preserve">[步骤]
1.后台电子护照查看，签证页信息
[结果]
1.签证页地点信息没有识别出来
[期望]
1.需要把空位留出来
&lt;img src="{42428.png}" alt="" /&gt;
</t>
  </si>
  <si>
    <t>签证页信息识别(82424)</t>
  </si>
  <si>
    <t>【验讫章】验讫章的标题不对，应该修改为国家/地区</t>
  </si>
  <si>
    <t xml:space="preserve">[步骤]
1.查看电子护照，验讫章信息
[结果]
1.验讫章的标题不对，应该是国家/地区
[期望]
1.优化格式标题
&lt;img src="{42425.png}" alt="" /&gt;
</t>
  </si>
  <si>
    <t>【验讫章】】电子护照里面验讫章出入境和国家不能修改，验讫章图片太小，看不清楚，需要可以放大</t>
  </si>
  <si>
    <t xml:space="preserve">[步骤]
1.查看后台电子护照信息
[结果]
1.电子护照里面验讫章出入境和国家不能修改
2.验讫章图片太小，看不清楚，需要放大
[期望]
1.验讫章信息都可以修改，且方便查看
&lt;img src="{42424.png}" alt="" /&gt;
</t>
  </si>
  <si>
    <t>【行程轨迹】行程轨迹里面地图错的，最南边是曾母暗沙，以及一些海岛没有显示出来</t>
  </si>
  <si>
    <t xml:space="preserve">[步骤]
1.查看行程轨迹图
[结果]
1.行程轨迹里面地图错的，最南边是曾母暗沙，以及一些海岛没有显示出来
[期望]
优化地图&lt;img src="{42422.png}" alt="" /&gt;&lt;img src="{42423.png}" alt="" /&gt;
</t>
  </si>
  <si>
    <t>验讫章识别出使用人的行程轨迹(82546)</t>
  </si>
  <si>
    <t>【批量翻页采集】2000次底层老化，翻页公务普通本，压爪没压住，导致本子脱离采集位置</t>
  </si>
  <si>
    <t xml:space="preserve">
[步骤]
1.老化采集，翻页
[结果]
1.翻页公务普通本，压爪没压住，导致本子脱离采集位置
[期望]
1.翻页稳定
&lt;a href="/zentao/file-read-42373.png" target="_blank" rel="noreferrer noopener"&gt;&lt;img src="{42373.png}" alt="" /&gt;&lt;/a&gt;
</t>
  </si>
  <si>
    <t>【文采】文采设备重启RK板子，提示dis异常断开</t>
  </si>
  <si>
    <t xml:space="preserve">[步骤]
1.设备端进入护照采集--重启rk板子
[结果]
1.提示dis异常断开
[期望]
1.rk重启正常
&lt;img src="{42414.png}" alt="" /&gt;
</t>
  </si>
  <si>
    <t>RK板子DIS服务重启(82469)</t>
  </si>
  <si>
    <t>【程序】上层软件点击后，初始化过程中，自动退出</t>
  </si>
  <si>
    <t xml:space="preserve">[步骤]
1.双击上层软件
[结果]
1初始化过程中，自动退出
[期望]
1.程序稳定
&lt;img src="{42377.png}" alt="" /&gt;
</t>
  </si>
  <si>
    <t>【安装部署】程序安装没有权限，需要指令授权，没有实现一键安装</t>
  </si>
  <si>
    <t xml:space="preserve">[步骤]
1.安装部署上层程序
[结果]
1.程序安装没有权限，需要指令授权，没有实现一键安装
[期望]
1.满足一键安装
&lt;img src="{42376.png}" alt="" /&gt;
</t>
  </si>
  <si>
    <t>【文采】老化采集完成后，机械手没去抓护照本，没有存回单元格</t>
  </si>
  <si>
    <t xml:space="preserve">[步骤]
1.底层老化采集
[结果]
1.机械手没去抓护照本，没有存回单元格
[期望]
1.存证稳定
&lt;img src="{42374.png}" alt="" /&gt;&lt;img src="{42375.png}" alt="" /&gt;
</t>
  </si>
  <si>
    <t>重复Bug</t>
  </si>
  <si>
    <t>【文采】底层老化，翻页公务普通本，压爪没压住，导致本子脱离采集位置</t>
  </si>
  <si>
    <t xml:space="preserve">[步骤]
1.老化采集，翻页
[结果]
1.翻页公务普通本，压爪没压住，导致本子脱离采集位置
[期望]
1.翻页稳定
&lt;img src="{42373.png}" alt="" /&gt;
</t>
  </si>
  <si>
    <t>【机械手】机械手送到翻转模块失败，只有报错代码，没有信息</t>
  </si>
  <si>
    <t xml:space="preserve">[步骤]
1.从单元格取本到文采模块
[结果]
1.机械手送到翻转模块失败，只有报错代码，没有信息
[期望]
1.底控稳定
&lt;img src="{42082.png}" alt="" /&gt;&lt;img src="{42083.png}" alt="" /&gt;&lt;img src="{42084.png}" alt="" /&gt;
</t>
  </si>
  <si>
    <t>【文采】打开上层软件，初始化，报错“翻转模块复位时，文采衔接的通道检测到有本”，实际是没有本，送本模块挡住了传感器，导致传感器误检</t>
  </si>
  <si>
    <t xml:space="preserve">[步骤]
1. 打开上层软件，初始化
[结果]
1文采衔接的通道检测到有本”，实际是没有本，送本模块挡住了传感器，导致传感器误检
[期望]
1.优化文采模块
&lt;img src="{42079.png}" alt="" /&gt;&lt;img src="{42080.png}" alt="" /&gt;
</t>
  </si>
  <si>
    <t>【设备门】设备左右柜门打开，软件提示右侧柜门打开，实际关闭左侧柜门，设备也复位成功了，错误代码x3101。</t>
  </si>
  <si>
    <t xml:space="preserve">[步骤]
1.设备左右柜门打开，重启上层软件
[结果]
1.软件提示右侧柜门打开，实际关闭左侧柜门，设备也复位成功了，错误代码x3101。
[期望]
1.提示准确
&lt;img src="{42033.png}" alt="" /&gt;
</t>
  </si>
  <si>
    <t>【文采】文采识别出来的签证页图片，是倒着的，不方便查看，建议加个旋转按钮</t>
  </si>
  <si>
    <t xml:space="preserve">[步骤]
1.设备上，今日采集查看识别出的文采图片
[结果]
1.文采识别出来的签证页图片，是倒着的，不方便查看
[期望]
1.建议加个旋转按钮
&lt;img src="{42067.png}" alt="" /&gt;
</t>
  </si>
  <si>
    <t>S431_V3.0_20241101(#4183)</t>
  </si>
  <si>
    <t>【文采】文采设备采集后，数据传后台时间较长，需要15-20分钟</t>
  </si>
  <si>
    <t>[步骤]
1.文采设备采集后
[结果]
1.数据传后台时间较长，需要15-20分钟
[期望]
1.加快传输时间</t>
  </si>
  <si>
    <t>【文采】文采模块提前放本，又下了采集任务，导致怼本，建议采集先检测是否有本</t>
  </si>
  <si>
    <t xml:space="preserve">[步骤]
1.文采模块提前放本，又下了采集任务
[结果]
1.导致怼本
[期望]
1.建议采集先检测是否有本
&lt;img src="{42030.png}" alt="" /&gt;&lt;img src="{42031.png}" alt="" /&gt;
</t>
  </si>
  <si>
    <t>【文采】提前在文采模块放无芯片本，重启软件后复位，只有代码没有报错信息，且本送到了单元格，应该丢到批量箱</t>
  </si>
  <si>
    <t xml:space="preserve">[步骤]
1.提前在文采模块放无芯片本
[结果]
1.重启软件后复位，只有代码没有报错信息,且本送到了单元格
[期望]
1.无芯片本应该丢到批量箱
&lt;img src="{42028.png}" alt="" /&gt;&lt;img src="{42029.png}" alt="" /&gt;
</t>
  </si>
  <si>
    <t>【后台】采集完成后，验讫章管理里面没有验讫章信息</t>
  </si>
  <si>
    <t xml:space="preserve">[步骤]
1.打开后台-证件列表-验讫章管理
[结果]
1.验讫章管理里面没有验讫章信息
[期望]
1.优化验讫章模块
&lt;img src="{42024.png}" alt="" /&gt;
</t>
  </si>
  <si>
    <t>【后台】验讫章识别使用的行程轨迹，行程轨迹识别空白</t>
  </si>
  <si>
    <t xml:space="preserve">[步骤]
1.采集后查看行程轨迹-证件列表-行程轨迹
[结果]
1.验讫章识别使用的行程轨迹，行程轨迹识别空白
[期望]
1.行程轨迹识别正常
&lt;img src="{42023.png}" alt="" /&gt;
</t>
  </si>
  <si>
    <t>【后台】行程轨迹地图标识不准确，哈萨克斯坦应该在中亚，标识到了非洲</t>
  </si>
  <si>
    <t xml:space="preserve">[步骤]
1.打开后台-证件列表-行程轨迹
[结果]
1.行程轨迹地图标识不准确
[期望]
1.轨迹地图标识准确
&lt;img src="{42007.png}" alt="" /&gt;&lt;img src="{42008.png}" alt="" /&gt;
</t>
  </si>
  <si>
    <t>【文采】11/715:20 文采进本故障后，退出文采，只有错误代码没有报错信息</t>
  </si>
  <si>
    <t xml:space="preserve">[步骤]
1. 文采进本故障后，退出文采
[结果]
1.只有错误代码没有报错信息
[期望]
1.有错误信息提示
&lt;img src="{42006.png}" alt="" /&gt;
</t>
  </si>
  <si>
    <t>【文采】采集翻页过程中，下采集中当前本得取本任务，软件直接提示没取到本，建议优化提示</t>
  </si>
  <si>
    <t xml:space="preserve">[步骤]
1.采集翻页过程中，下采集中当前本得取本任务
[结果]
1.软件直接提示没取到本
[期望]
1.建议优化提示，“正在采集请稍后取本”
&lt;img src="{41940.png}" alt="" /&gt;
</t>
  </si>
  <si>
    <t>【文采】采集过程中，点击取消采集，提示采集任务取消失败，实际上取消成功了，设备状态提示故障</t>
  </si>
  <si>
    <t xml:space="preserve">[步骤]
1.采集过程中，点击取消采集
[结果]
1.提示采集任务取消失败，实际上取消成功了，设备状态提示故障
[期望]
1.优化提示语言
&lt;img src="{41939.png}" alt="" /&gt;
</t>
  </si>
  <si>
    <t>S431_V3.0.0_20220510(#2237)</t>
  </si>
  <si>
    <t>【文采】16：40，采集过程中，点击取消采集，本没送回来还在文采模块，设备状态就是取消中，等了九分钟才送本回单元格</t>
  </si>
  <si>
    <t xml:space="preserve">[步骤]
1.采集过程中，点击取消采集
[结果]
1.本没送回来还在文采模块，设备状态就是取消中，等了九分钟才送本回单元格
[期望]
1.取消采集稳定
&lt;img src="{41938.png}" alt="" /&gt;
</t>
  </si>
  <si>
    <t>【文采】批量采集过程中，推杆没有推本，送不进文采模块</t>
  </si>
  <si>
    <t>[步骤]
1.批量采集过程中，推杆没有推本
[结果]
1.本送不进文采模块
[期望]
1.推本稳定</t>
  </si>
  <si>
    <t>【盘点】1.采集过程中下发盘点任务，发现盘点流程有问题： 盘点的时候，先报错[10122]单元格取证到右读写器检测到抓本模块有本点击屏幕的确认按钮后，设备进行了复位动作，把本放到了翻转模块，复位动作完成后，左读写器从翻转模块取本的时候，本还在右边机械手就报错10116]左读写器发本到单元格检测到抓本模块无本。</t>
  </si>
  <si>
    <t xml:space="preserve">[前置条件]
1.设备正在采集5.提供因私因公不同厚度证件测试[步骤]
1.采集过程中下发盘点任务盘点流程有问题：
2. 盘点的时候，先报错[10122]单元格取证到右读写器检测到抓本模块有本
3.点击屏幕的确认按钮后，设备进行了复位动作，把本放到了翻转模块
[结果]
1.复位动作完成后，左读写器从翻转模块取本的时候，本还在右边机械手就报错10116]左读写器发本到单元格检测到抓本模块无本。
[期望]
1.优化盘点流程
&lt;img src="{41934.png}" alt="" /&gt;&lt;img src="{41935.png}" alt="" /&gt;
</t>
  </si>
  <si>
    <t>设备正在采集中，下发盘点任务(82455)</t>
  </si>
  <si>
    <t>【文采】在护照采集中心查看今日采集失败具体内容，没有页面弹出，只能看日志</t>
  </si>
  <si>
    <t xml:space="preserve">[步骤]
1.】在护照采集中心查看今日采集失败具体内容
[结果]
1.没有页面弹出，只能看日志
[期望]
1.建议和今日已采集，待采集数量一样，点击了有页面弹出，不用看日志
&lt;img src="{41926.png}" alt="" /&gt;&lt;img src="{41927.png}" alt="" /&gt;
</t>
  </si>
  <si>
    <t>查看采集统计数据（待采集任务数量、今日已采集数量、今日采集失败数量）(82439)</t>
  </si>
  <si>
    <t>【文采】启用/禁用文采服务，文采模块禁用了，又下了采集任务，建议有个提示，“文采模块已禁用，请先开启”</t>
  </si>
  <si>
    <t xml:space="preserve">[步骤]
1.先禁用了文采模块
2.又下了采集任务
[结果]
1.文采模块没有翻页
[期望]
1.建议有个提示，“文采模块已禁用，请先开启”
&lt;img src="{41925.png}" alt="" /&gt;
</t>
  </si>
  <si>
    <t>启用/禁用文采服务(82443)</t>
  </si>
  <si>
    <t>【取本】11/01，15：38自助取本，机械手没有去抓护照本，等倒计时结束后返回自助页面。</t>
  </si>
  <si>
    <t xml:space="preserve">[前置条件]
1.使用上层应用软件2.若出现故障后，执行次数翻倍[步骤]
1.扫二维码，自助取本
[结果]
1.机械手没有去抓护照本，等倒计时结束后返回自助页面。
[期望]
1.取本稳定
&lt;img src="{41921.png}" alt="" /&gt;&lt;img src="{41922.png}" alt="" /&gt;
</t>
  </si>
  <si>
    <t>稳定性验证03，批量取证，1600本，无故障(82408)</t>
  </si>
  <si>
    <t>【文采】设置翻页次数，0-7页和1-7页采集的图片的是一样的</t>
  </si>
  <si>
    <t xml:space="preserve">[步骤]
1.进入文采模块，设置翻页次数0-7和1-7
[结果]
1.采集的图片的是一样的
[期望]
1.0页可用采集国徽页
&lt;img src="{41690.png}" alt="" /&gt;
</t>
  </si>
  <si>
    <t>【文采】验讫章识别出使用人的行程轨迹，需求未实现</t>
  </si>
  <si>
    <t>[步骤]
1.打开系统平台查看验讫章识别轨迹
[结果]
1.需求未实现
[期望]
1.满足需求</t>
  </si>
  <si>
    <t>【发本箱空箱检测】批量发本箱发完本没有提示</t>
  </si>
  <si>
    <t>[步骤]
1.放本到批量箱，批量存本
[结果]
1.批量发本箱发完本没有提示
[期望]
1.有提示信息</t>
  </si>
  <si>
    <t>EMP7892D_V2.0_20241008(#4153)</t>
  </si>
  <si>
    <t>发本箱空箱检测功能(82479)</t>
  </si>
  <si>
    <t>/其他需求/工艺及设计规范(#15644)</t>
  </si>
  <si>
    <t>【界面】上层软件页面文字提示错误，“请将证件放入证卡口”，应该是本，“请按压大拇指”，建议“按压指纹”</t>
  </si>
  <si>
    <t xml:space="preserve">[步骤]
1.查看上层软件文字提示
[结果]
1上层软件页面文字提示错误，“请将证件放入证卡口”，应该是本，“请按压大拇指”，建议“按压指纹”
[期望]
1建议优化
&lt;img src="{41608.png}" alt="" /&gt;&lt;img src="{41609.png}" alt="" /&gt;
</t>
  </si>
  <si>
    <t>界面风格(82542)</t>
  </si>
  <si>
    <t>/外设及其他功能/指示灯(#15629)</t>
  </si>
  <si>
    <t>【指示灯】指纹仪亮，会透光到旁边的身份证识别区</t>
  </si>
  <si>
    <t xml:space="preserve">[步骤]
1.指纹登陆管理员模式
[结果]
1.指纹仪亮，会透光到旁边的身份证识别区
[期望]
1.指示灯不透光
&lt;img src="{41607.png}" alt="" /&gt;
</t>
  </si>
  <si>
    <t>外设部件指示灯(82504)</t>
  </si>
  <si>
    <t>/外设及其他功能/指纹仪(#15625)</t>
  </si>
  <si>
    <t>【指纹仪】正式模式下，指纹仪有识别失败的概率，约10次有一次</t>
  </si>
  <si>
    <t xml:space="preserve">[前置条件]
1.指纹仪录入成功
[步骤]
1.正式模式下指纹登陆
[结果]
1.正式模式下，指纹仪有识别失败的概率，约10次有一次
[期望]
1.识别成功率高
&lt;img src="{41606.png}" alt="" /&gt;
</t>
  </si>
  <si>
    <t xml:space="preserve"> 指纹仪压测50次，成功率100%(82506)</t>
  </si>
  <si>
    <t>/外设及其他功能/UPS不间断电源(#15628)</t>
  </si>
  <si>
    <t>【ups】ups断电前工控机没有先断电，提示两分钟后断电，但是仅退出了软件，工控机没有断电，ups没电后工控机和设备一起掉电</t>
  </si>
  <si>
    <t>[步骤]
1.断掉设备电源
[结果]
1ups断电前工控机没有先断电，提示两分钟后断电，但是仅退出了软件，工控机没有断电，ups没电后工控机和设备一起掉电
[期望]
1.工控机先断电</t>
  </si>
  <si>
    <t>断开设备的电源后，UPS供电自动关闭设备电脑和工控机(83248)</t>
  </si>
  <si>
    <t>【系统平台】证件列表：详情页，未上传证件图片，图片区域显示加载失败，建议显示“暂未上传图片”</t>
  </si>
  <si>
    <t xml:space="preserve">[前置条件]
拥有操作权限的用户已登录证件在线监管系统，进入证件列表页[步骤]
1. 在列表中定位一条数据，点击“详情”按钮；
2. 观察界面详情信息。
[结果]
1. 自动跳转到证件信息详情界面
2. 未上传证件图片，图片区域显示加载失败，提示文字会以为是照片已上传，是加载失败
&lt;img src="{41605.png}" alt="" /&gt;
[期望]
1. 自动跳转到证件信息详情界面；
2. 未上传证件图片，图片区域建议显示“暂未上传图片”
</t>
  </si>
  <si>
    <t>证件管理-证件列表-查看(82837)</t>
  </si>
  <si>
    <t>【文采】文采翻页采集本页，但是摄像头拍到了旁边页，导致误识别到旁边页的验讫章</t>
  </si>
  <si>
    <t>【步骤】
【结果】
【期望】</t>
  </si>
  <si>
    <t>【文采】文采翻页采集页码上有绿光，红光</t>
  </si>
  <si>
    <t xml:space="preserve">【步骤】
1.后台下发护照本采集翻页
 【结果】
1.文采翻页采集页码上有绿光，红光
【期望】
1.采集正常
&lt;img src="{41568.png}" alt="" /&gt;&lt;img src="{41670.png}" alt="" /&gt;
</t>
  </si>
  <si>
    <t>【文采】文采翻页采集中有已经翻过的重复页</t>
  </si>
  <si>
    <t xml:space="preserve">【步骤】
1.设备上查看今日采集护照页
【结果】
1.文采翻页采集中有已经翻过的重复页
【期望】
1.无重复拍照
&lt;img src="{41573.png}" alt="" /&gt;&lt;img src="{41574.png}" alt="" /&gt;
</t>
  </si>
  <si>
    <t>【软件】后台下发自助取证任务，取了一本就停止，并报错，需要重新再刷二维码取证</t>
  </si>
  <si>
    <t xml:space="preserve">【步骤】
1.后台下发自助取证任务
【结果】
1.取了一本就停止，并报错，需要重新再刷二维码取证
【期望】
1.后台取证稳定
&lt;img src="{41575.png}" alt="" /&gt;&lt;img src="{41576.png}" alt="" /&gt;
</t>
  </si>
  <si>
    <t>【文采】签证页信息被识别成了空白页</t>
  </si>
  <si>
    <t xml:space="preserve">【步骤】
1.设备上查看今日采集护照信息
 【结果】
1.签证页信息被识别成了空白页
【期望】
1.识别准确
&lt;img src="{41571.png}" alt="" /&gt;
</t>
  </si>
  <si>
    <t>S431_V3.0_20241101(#4183)
S431_V2.0_20241008(#4154)</t>
  </si>
  <si>
    <t>【文采】护照空白页，被误识别成验讫章页，还误识别出了入境国家</t>
  </si>
  <si>
    <t xml:space="preserve">【步骤】
1.查看护照采集信息
 【结果】
1.护照空白页，被误识别成验讫章页，还误识别出了入境国家
【期望】
1.识别稳定
&lt;img src="{41570.png}" alt="" /&gt;
</t>
  </si>
  <si>
    <t>【文采】文采单本采集，本不在证盒，机械手会一直去抓取证件，建议重试三次停止</t>
  </si>
  <si>
    <t>【步骤】
【结果】
【期望】</t>
  </si>
  <si>
    <t>【系统平台】证件列表：下发护照采集任务，护照采集任务完成后，状态为证件状态 -偶现</t>
  </si>
  <si>
    <t xml:space="preserve">[前置条件]
1.拥有操作权限的用户已登录证件在线监管系统，进入证件列表页 [步骤]
1. 在列表中找到在库的证件，下发护照采集任务，输入任务开始时间、开始页码和结束页码，提交
[结果]
1. 护照采集任务完成后，状态为证件状态
&lt;img src="{41545.png}" alt="" /&gt;
&lt;img src="{41546.png}" alt="" /&gt;
[期望]
1. 状态应如实显示
</t>
  </si>
  <si>
    <t>【文采】10/11 09：52，10/11/15：32  经常出现查看今日采集图片，来回翻页后，软件白屏，只能强制退出重启</t>
  </si>
  <si>
    <t xml:space="preserve">[步骤]
1.查看今日采集图片，快速翻页后
[结果]
1.软件白屏，只能强制退出重启
[期望]
1.程序稳定
&lt;img src="{41523.png}" alt="" /&gt;
</t>
  </si>
  <si>
    <t>【灯控】自助取证后，出口外设灯一直再闪，使用维护软件才关掉指示灯</t>
  </si>
  <si>
    <t xml:space="preserve">[前置条件]
1.使用上层应用软件2.若出现故障后，执行次数翻倍[步骤]
1.自助取证
[结果]
1.自助取证后，出口外设灯一直再闪，使用维护软件才关掉指示灯
[期望]
1.灯控稳定、
&lt;img src="{41518.png}" alt="" /&gt;
</t>
  </si>
  <si>
    <t>【文采】同一本采集护照图片，每张的亮度不一样，有的图片特别亮，有的图比较暗</t>
  </si>
  <si>
    <t xml:space="preserve">[步骤]
1.采集完成后查看图片
[结果]
1.采集护照图片，每张的亮度不一样，有的图片特别亮，有的图比较暗
[期望]
1.亮度均匀
&lt;img src="{41505.png}" alt="" /&gt;&lt;img src="{41506.png}" alt="" /&gt;
</t>
  </si>
  <si>
    <t>【盘点】盘点执行失败，驱动器报警，设备无法继续盘点，报错[11231]无法自动清除警报</t>
  </si>
  <si>
    <t xml:space="preserve">[步骤]
1.通宵盘点，翻页
[结果]
1.驱动器报警，设备无法继续盘点，报错[11231]无法自动清除警报
[期望]
1.驱动器稳定
&lt;img src="{41465.png}" alt="" /&gt;
</t>
  </si>
  <si>
    <t>盘点稳定性&gt;24小时无故障(83150)</t>
  </si>
  <si>
    <t>【上层软件】10/0916：04，选择自助存本，刷二维码后，弹出取证页面</t>
  </si>
  <si>
    <t xml:space="preserve">【步骤】
1.使用二维码自助存本
【结果】
1.刷二维码后，弹出取证页面
【期望】
1.程序运行稳定
</t>
  </si>
  <si>
    <t>【文采】正式本容易出现，翻页翘起</t>
  </si>
  <si>
    <t xml:space="preserve">【步骤】
1.使用正式本到文采翻页测试，查看翻页结果
【结果】
1.正式本容易出现，翻页翘起
【期望】
1.翻页正常
&lt;img src="{41468.png}" alt="" /&gt;&lt;img src="{41470.png}" alt="" /&gt;&lt;img src="{41469.png}" alt="" /&gt;
</t>
  </si>
  <si>
    <t>【文采】选择整本采集后，没有整本采集完成就结束了</t>
  </si>
  <si>
    <t xml:space="preserve">【步骤】
1.上层软件，选择文采采集，选择整本采集，查看翻页结果
【结果】
1.选择整本采集后，没有整本采集完成就翻页结束了
【期望】
1.完成整本翻页
</t>
  </si>
  <si>
    <t>【文采】翻页后，护照本上留下压痕，压痕导致护照页不平整，影响拍照效果</t>
  </si>
  <si>
    <t xml:space="preserve">【步骤】
1.放置护照本，进行整机跑机，查看护照本是否有损伤，
【结果】
1.多次翻页后，护照本上留下压痕，压痕导致护照页不平整，影响拍照效果:
【期望】
1.无压痕
&lt;img src="{41467.png}" alt="" /&gt;
</t>
  </si>
  <si>
    <t>【界面】自助存证提示的图案不对</t>
  </si>
  <si>
    <t xml:space="preserve">[步骤]
1.打开上层软件，自助存证
[结果]
1.自助存证提示的图案不对
[期望]
1.优化图案
&lt;img src="{41096.png}" alt="" /&gt;
</t>
  </si>
  <si>
    <t>【文采】 设备故障了退出文采，这个报错没有提示信息，只有错误代码</t>
  </si>
  <si>
    <t xml:space="preserve">[步骤]
设备故障了退出文采
[结果]
这个报错没有提示信息，只有错误代码
[期望]
有提示信息
&lt;img src="{41093.png}" alt="" /&gt;&lt;img src="{41625.png}" alt="" /&gt;&lt;img src="{41094.png}" alt="" /&gt;
</t>
  </si>
  <si>
    <t>【噪音】目前掉本声音比较大最大71分贝，其他存取噪音都小于65分贝</t>
  </si>
  <si>
    <t>[步骤]
1.测试设备运行最大噪音
[结果]
1.目前掉本声音比较大最大71分贝，其他存取噪音都小于65分贝
[期望]
1.掉本小于65分贝</t>
  </si>
  <si>
    <t>噪音dB≤65Db(82402)</t>
  </si>
  <si>
    <t>评审通过</t>
  </si>
  <si>
    <t>【外设部件指示灯】氛围灯没有安装</t>
  </si>
  <si>
    <t xml:space="preserve">[步骤]
1.用底层点亮氛围灯
[结果]
1.氛围灯没有安装
[期望]
1.安装氛围灯
&lt;img src="{41071.png}" alt="" /&gt;
</t>
  </si>
  <si>
    <t>/其他需求/安全性(#15648)</t>
  </si>
  <si>
    <t>【安全】设备内部没有安全标识</t>
  </si>
  <si>
    <t>安全相关</t>
  </si>
  <si>
    <t>[步骤]
1.查看设备内部
[结果]
1.没有安全标识
[期望]
1.增加安全标识</t>
  </si>
  <si>
    <t>具有安全标识(82526)</t>
  </si>
  <si>
    <t>【文采】查看今日采集护照信息，护照页拍出来是反的，不方便查看</t>
  </si>
  <si>
    <t xml:space="preserve">[步骤]
1.查看今日采集护照信息
[结果]
1.护照页拍出来是反的，不方便查看
[期望]
1.页面方便查看
&lt;img src="{41064.png}" alt="" /&gt;
</t>
  </si>
  <si>
    <t>【文采】待采集护照列表，全选了所有护照，点击下一页，再返回上一页，上一页全选的记录没有了</t>
  </si>
  <si>
    <t xml:space="preserve">[步骤]
1.待采集护照列表全选护照，再点击下一页，全选后，返回上一页
[结果]
1.上一页全选的记录没有了
[期望]
1.全选记录可以保存，方便客户使用
&lt;img src="{41041.png}" alt="" /&gt;&lt;img src="{41042.png}" alt="" /&gt;
</t>
  </si>
  <si>
    <t>【文采】整机复位时，没有先把文采模块的杆收回去，导致上电机翻转到竖直位置失败</t>
  </si>
  <si>
    <t xml:space="preserve">[步骤]
1.重启上层
[结果]
1.整机复位时，没有先把文采模块的杆收回去，导致上电机翻转到竖直位置失败
[期望]
1.优化复位流程
&lt;img src="{41040.png}" alt="" /&gt;
</t>
  </si>
  <si>
    <t>【文采】下了一本采集任务，设备故障，重启了RK板子，设备把需要采集的本，丢到了批量箱后，机械手又去抓采集的本，抓不到</t>
  </si>
  <si>
    <t xml:space="preserve">[步骤]
1.下了采集任务，但是设备故障，不能执行任务
2.重启了RK，设备把需要采集的本，
[结果]
1.丢到了批量箱后，机械手又去抓采集的本
[期望]
1.采集完本存回单元格
&lt;img src="{41039.png}" alt="" /&gt;
</t>
  </si>
  <si>
    <t>【文采】文采设备故障，点击软件RK板重启，重启后还是故障</t>
  </si>
  <si>
    <t xml:space="preserve">[步骤]
1.文采设备故障
2.软件设置里面重启RK板
[结果]
1.点击重启后还是故障
[期望]
1.重启RK成功
&lt;img src="{41038.png}" alt="" /&gt;
</t>
  </si>
  <si>
    <t>【文采】文采模块有本故障后，本没有复位出来，可以继续执行存取，清点，盘点任务</t>
  </si>
  <si>
    <t>[前置条件]
1.模拟设备故障，将一张卡片贴在文采入口2..提供因私因公不同厚度证件测试[步骤]
1.文采模块有本故障后，本没有复位出来
[结果]
1.可以继续执行存取，清点，盘点任务
[期望]
1.复位出本再执行其他动作</t>
  </si>
  <si>
    <t>设备正在执行将证件送入采集模块中故障，下发自助存证任务(82456)</t>
  </si>
  <si>
    <t>【文采】采集过程中，关闭动力电压，再打开电源，重启上层程序，本都在文采模块内，没有复位出来，回到证盒</t>
  </si>
  <si>
    <t xml:space="preserve">[前置条件]
设备正在采集2.提供因私因公不同厚度证件测试[步骤]
1.批量采集护照本，过程中断电重启，重启上层
[结果]
1.本都在文采模块内，没有复位出来，回到证盒
[期望]
1.本可以复位出来
&lt;img src="{41033.png}" alt="" /&gt;
</t>
  </si>
  <si>
    <t>采集过程中，程序退出/设备断电(82462)</t>
  </si>
  <si>
    <t>【文采】9/914：27采集过程中，退出上层程序，还是会继续翻页完，采集完不会送回单元格，而是丢到批量箱</t>
  </si>
  <si>
    <t>[前置条件]
设备正在采集2.提供因私因公不同厚度证件测试[步骤]
1.采集过程中，退出上层
[结果]
1.会继续翻页完，采集完不会送回单元格，而是丢到批量箱
[期望]
1.送回单元格</t>
  </si>
  <si>
    <t>【采集老化】翻页采集跑机60个小时，出现一次 上电机反转到水平位置失败</t>
  </si>
  <si>
    <t xml:space="preserve">[步骤]
1.底层老化跑机测试
[结果]
1.翻页采集跑机60个小时，出现一次 上电机反转到水平位置失败
[期望]
1.底层增加重试
&lt;img src="{41031.png}" alt="" /&gt;
</t>
  </si>
  <si>
    <t>【文采】插拔rk串口，不关文采的应用软件，串口会变，只能重启文采电脑</t>
  </si>
  <si>
    <t xml:space="preserve">[步骤]
1.不关文采的应用软件
1.插拔rk串口
[结果]
1.串口会变，只能重启文采电脑
[期望]
1.串口不变
&lt;img src="{41030.png}" alt="" /&gt;
</t>
  </si>
  <si>
    <t>【文采】设置采集参数，开始页码设置为0，结束页数设置为0，下发任务后，还是护照本全部翻页，与设置页数不符合</t>
  </si>
  <si>
    <t xml:space="preserve">[步骤]
1.进入护照采集-新增采集-选择证件-设置翻页数
[结果]
1.开始页码设置为0，结束页数设置为0，下发任务后，还是护照本全部翻页，与设置页数不符合
[期望]
1.设置页数与实际相符
&lt;img src="{41029.png}" alt="" /&gt;
</t>
  </si>
  <si>
    <t>【文采】查看待采集护照信息列表，要点击“更多”里面，再点击点“新增采集”，才可以看到待采集的护照列表，流程太长</t>
  </si>
  <si>
    <t xml:space="preserve">[步骤]
1.查看待采集护照信息列表
[结果]
1.要点击“更多”里面，再点击点“新增采集”，才可以看到待采集的护照列表，流程太长
[期望]
1.建议可以像采集记录一样显示在页面
&lt;img src="{41026.png}" alt="" /&gt;
</t>
  </si>
  <si>
    <t>查看已经下发的采集任务(82438)</t>
  </si>
  <si>
    <t>【文采】待采集护照列表，页面还是显示采集f002，实际采集到f004了/2.拔插rk板子，应该为故障，但是还是提示空闲，护照采集中心设备状态没有更新</t>
  </si>
  <si>
    <t xml:space="preserve">[步骤]
1.查看待采集护照列表
[结果]
1.页面还是显示采集f002，实际采集到f004了
[期望]
1.页面时时更新
&lt;img src="{41018.png}" alt="" /&gt;
</t>
  </si>
  <si>
    <t xml:space="preserve">【文采】证件到翻转模块时封面无法识别，目前只能看日志，不方便用户查看，建议可以在页面做个标记   </t>
  </si>
  <si>
    <t xml:space="preserve">[前置条件]
1.提供因私因公不同厚度证件测试[步骤]
1.文采封面识别
[结果]
1.证件到翻转模块时封面无法识别，目前只能看日志，不方便用户查看，建议可以在页面做个标记   
[期望]
1.建议可以在今日采集护照信息页面做个标记   
&lt;img src="{41017.png}" alt="" /&gt;
</t>
  </si>
  <si>
    <t>证件到翻转模块时封面无法识别(82448)</t>
  </si>
  <si>
    <t>【文采】文采资料页识别不全</t>
  </si>
  <si>
    <t xml:space="preserve">[步骤]
1.查看今日采集护照信息，查看图片
[结果]
1.文采资料页识别不全
[期望]
1.资料页识别全面
&lt;img src="{41016.png}" alt="" /&gt;
</t>
  </si>
  <si>
    <t>【文采】文采图像有阴影</t>
  </si>
  <si>
    <t xml:space="preserve">[前置条件]
1.证件采集完成[步骤]
1.查看已采集护照信息-查看图片
[结果]
1.文采图像有阴影
[期望]
1.拍照清晰
&lt;img src="{41015.png}" alt="" /&gt;&lt;img src="{41066.png}" alt="" /&gt;
</t>
  </si>
  <si>
    <t>采集的图像清晰、页面光照均匀、无畸变、无反光等(82428)</t>
  </si>
  <si>
    <t>【文采】设置翻页次数，没有键盘弹出来，只能根据加减符号，手动点击页数，不方便</t>
  </si>
  <si>
    <t>[步骤]
1.设置翻页次数
[结果]
1.没有键盘弹出来，只能根据加减符号，手动点击页数，不方便
[期望]
1.有键盘弹出</t>
  </si>
  <si>
    <t>【文采】待采集护照列表，选择新增采集的护照，加入批量采集，每次都要选择设置采集页码数，建议两种采集模式，默认整本翻页，或者可设置翻页次数</t>
  </si>
  <si>
    <t xml:space="preserve">[步骤]
1.待采集护照列表，选择新增采集的护照，加入批量采集
[结果]
1.每次都要选择设置采集页码数
[期望]
1.建议两种采集模式，默认整本翻页，或者可设置翻页次数
&lt;img src="{41009.png}" alt="" /&gt;
</t>
  </si>
  <si>
    <t>【文采】9/610：11，点待采集护照列表，搜索关键字，进行模糊查询，随意滑动下鼠标，程序闪退</t>
  </si>
  <si>
    <t xml:space="preserve">[步骤]
1.点待采集护照列表，搜索关键字，进行模糊查询
[结果]
1，随意滑动下鼠标，程序闪退
[期望]
1.程序稳定
&lt;img src="{41008.png}" alt="" /&gt;
</t>
  </si>
  <si>
    <t>【文采】批量采集任务，最后一本证件被人为拿走，机械手会一直去抓取证件，点击取消采集也无法取消掉任务</t>
  </si>
  <si>
    <t xml:space="preserve">[步骤]
1.批量下发采集任务
2.最后一本证件被人为拿走
[结果]
1.机械手会一直去抓取证件，点击取消采集也无法取消掉任务
[期望]
1.点击取消采集可以取消任务，或者去采集下一本
&lt;img src="{41002.png}" alt="" /&gt;
</t>
  </si>
  <si>
    <t>取消已下发的采集任务(82436)</t>
  </si>
  <si>
    <t>【批量取证】上层软件，批量取本，取证时报错抓本机械手伸出失败，机械手刚好怼住本，导致取不到本</t>
  </si>
  <si>
    <t xml:space="preserve">[前置条件]
1.使用上层应用软件2.若出现故障后，执行次数翻倍[步骤]
1.上层软件，批量取本
[结果]
1.取证时报错抓本机械手伸出失败
[期望]
1.取本稳定性高
&lt;img src="{40996.png}" alt="" /&gt;&lt;img src="{40997.png}" alt="" /&gt;
</t>
  </si>
  <si>
    <t>【文采模块】采集过程中开门，文采模块不运行，建议有弹窗提示，目前只有日志里面可以看到</t>
  </si>
  <si>
    <t xml:space="preserve">[步骤]
1.采集过程中开门
[结果]
1.文采模块不运行，建议有弹窗提示，目前只有日志里面可以看到
[期望]
1.建议有弹窗提示
&lt;img src="{40984.png}" alt="" /&gt;
&lt;img src="{40985.png}" alt="" /&gt;
</t>
  </si>
  <si>
    <t>【文采模块】文采采集过程中，需要点击取消采集，取消采集按钮提示不明确，建议更新</t>
  </si>
  <si>
    <t xml:space="preserve">[步骤]
1.文采采集过程中，需要点击取消采集，
[结果]
1.取消采集按钮提示不明确
[期望]
1.建议优化取消采集按钮
&lt;img src="{40982.png}" alt="" /&gt;
</t>
  </si>
  <si>
    <t>【批量翻页】翻页26本，出现一本异常结束，执行到翻页开始位置动作之前检测到有纸翘起来</t>
  </si>
  <si>
    <t xml:space="preserve">[步骤]
1.文采批量翻页
[结果]
1.翻页26本，出现一本异常结束，执行到翻页开始位置动作之前检测到有纸翘起来
[期望]
1.翻页稳定性高
&lt;img src="{40988.png}" alt="" /&gt;
</t>
  </si>
  <si>
    <t>【批量箱】使用上层，设备维护，开门控制，批量箱门打开不稳定，经常打不开，左右柜门也打不开</t>
  </si>
  <si>
    <t xml:space="preserve">[步骤]
1.使用上层，设备维护，开门控制，
[结果]
1.批量箱门打开不稳定，经常打不开，左右柜门也打不开
[期望]
1.使用软件所有门可以正常打开
&lt;img src="{40989.png}" alt="" /&gt;
</t>
  </si>
  <si>
    <t>【采集】设置翻页1-7页，翻页没有拍第一页， 看日志现在是拍了2-7页</t>
  </si>
  <si>
    <t>[前置条件]
1.文采模块配置开启2.打开上层软件[步骤]
1.设置翻页1-7页
[结果]
1.翻页没有拍第一页， 看日志现在是拍了2-7页
[期望]
1.翻页都拍</t>
  </si>
  <si>
    <t>采集前可置翻页执行次数(82430)</t>
  </si>
  <si>
    <t>【收本箱】收本箱收本乱</t>
  </si>
  <si>
    <t xml:space="preserve">[步骤]
1.批量收本到批量箱
[结果]
1.收本箱收本乱
[期望]
1.收本整齐
&lt;img src="{40990.png}" alt="" /&gt;
</t>
  </si>
  <si>
    <t>收本箱，收本整齐(82538)</t>
  </si>
  <si>
    <t>【批量废本箱】没有批量废本箱，需求要求批量废本箱容量五本</t>
  </si>
  <si>
    <t>[步骤]
1.根据需求核对设备
[结果]
1.没有批量废本箱，需求要求批量废本箱容量五本
[期望]
1.满足需求</t>
  </si>
  <si>
    <t>批量废本箱容量，5本(82396)</t>
  </si>
  <si>
    <t>/其他需求/维护软件(#15647)</t>
  </si>
  <si>
    <t>【烧录】文采控制库程序包中缺少文件“DownloadTool.xml”文件</t>
  </si>
  <si>
    <t xml:space="preserve">[步骤]
1.烧录文采模块
[结果]
1.文采控制库程序包中缺少文件“DownloadTool.xml”文件
[期望]
1.下一版归档
&lt;img src="{40965.png}" alt="" /&gt;
</t>
  </si>
  <si>
    <t>/其他需求/异常证件测试(#18459)</t>
  </si>
  <si>
    <t>证件采集背脊检测</t>
  </si>
  <si>
    <t>翻页前，当证件背脊检测成功，证件送到翻页模块进行采集；若证件背脊检测异常，证件送回本库单元格，并记录相关错误信息</t>
  </si>
  <si>
    <t>批量取证：连续取证20本*40次不出现问题</t>
  </si>
  <si>
    <t>文采模块支持自动翻页采集</t>
  </si>
  <si>
    <t>/主要功能模块/单本进/出证口(#18008)</t>
  </si>
  <si>
    <t>单本进/出证口，能兼容不同厚度的中国护照、带指示灯</t>
  </si>
  <si>
    <t>1.单本进/出证口，能兼容不同厚度的中国护照（外交/公务/公务普通/因私）
2.带指示灯</t>
  </si>
  <si>
    <t>7891k和7892D底层通用，只需改配置和参数</t>
  </si>
  <si>
    <t>存取证测试，取出到出证口，不移除证件，回存到其他格口，连续一直运行直到出现故障或超过72小时。</t>
  </si>
  <si>
    <t>满足需求</t>
  </si>
  <si>
    <t>批量存证，连续存证35本*40次不出现问题</t>
  </si>
  <si>
    <t>参考对比提供的样图，无明显差异</t>
  </si>
  <si>
    <t>图像质量：采集的图像清晰、页面光照均匀、无畸变、无反光等</t>
  </si>
  <si>
    <t>工作湿度20～80％RH(相对湿度、无结露)</t>
  </si>
  <si>
    <t>工作温度5～35°C</t>
  </si>
  <si>
    <t>噪音65DBA</t>
  </si>
  <si>
    <t>电压220±5%V AC  50Hz</t>
  </si>
  <si>
    <t>设备尺寸以实际为准</t>
  </si>
  <si>
    <t>设备重量以实际为准</t>
  </si>
  <si>
    <t>/其他需求/易维护性(#15642)</t>
  </si>
  <si>
    <t>开关，接口：工控机复位开关1个，电源开关1个，电源接口1个，网口1个</t>
  </si>
  <si>
    <t>开关：工控机复位开关1个，电源开关1个，电源接口1个，网口1个</t>
  </si>
  <si>
    <t>/外设及其他功能/温度/烟雾报警器(#15632)</t>
  </si>
  <si>
    <t>温度探测器当有高温时自动断电并发出警报</t>
  </si>
  <si>
    <t>烟雾报警器有烟雾时自动断电并发出警报，断电</t>
  </si>
  <si>
    <t>UPS选配</t>
  </si>
  <si>
    <t>可设置位置，选配</t>
  </si>
  <si>
    <t>/外设及其他功能/条码枪(#15627)</t>
  </si>
  <si>
    <t>条码枪读头ES4650-SR 串口接口 民德 Mindeo</t>
  </si>
  <si>
    <t>/外设及其他功能/身份证阅读器(#15623)</t>
  </si>
  <si>
    <t>身份证阅读器深圳德卡</t>
  </si>
  <si>
    <t>指纹仪北京眼神智能科技TCS316N-125CCB_V1.2</t>
  </si>
  <si>
    <t>/外设及其他功能/摄像头(#15626)</t>
  </si>
  <si>
    <t>双目摄像头_规格</t>
  </si>
  <si>
    <t>JDY-K098A-G08（可见光彩色300W像素，近红外130W像素）健德源</t>
  </si>
  <si>
    <t>/外设及其他功能/触摸屏/显示器(#15622)</t>
  </si>
  <si>
    <t>触摸显示屏：电容触摸屏、不小于19寸</t>
  </si>
  <si>
    <t>1.类型：电容触摸屏
2.尺寸：不小于19寸</t>
  </si>
  <si>
    <t>算力主控RK3588（同文采仪）</t>
  </si>
  <si>
    <t>/外设及其他功能/PC机(#15621)</t>
  </si>
  <si>
    <t>工控主机系统规格</t>
  </si>
  <si>
    <t>1.CPU:兆芯KX-U6780A
2.内存:8G
3.硬盘:1T SSD
4.系统：银河麒麟桌面操作系统V10</t>
  </si>
  <si>
    <t>/外设及其他功能/护照阅读器(#15624)</t>
  </si>
  <si>
    <t>读写器成功率≥99.7%</t>
  </si>
  <si>
    <t>断电保护，停电后，设备可持续运行10分钟以上</t>
  </si>
  <si>
    <t>盘点时间＜6.4小时</t>
  </si>
  <si>
    <t>清点时间＜1分钟</t>
  </si>
  <si>
    <t>本库取本翻页速度（含识别）＜4分钟/本</t>
  </si>
  <si>
    <t xml:space="preserve">前置条件：
1）48页的中国护照
2）采集常光、红外光图片
本库取本翻页速度（含识别）＜4分钟/本
</t>
  </si>
  <si>
    <t>批量取本速度（不含翻页）＜11秒/本</t>
  </si>
  <si>
    <t>批量存本速度（不含翻页）＜13秒/本</t>
  </si>
  <si>
    <t>单本取本速度（不含翻页）＜12秒/本</t>
  </si>
  <si>
    <t>单本存本速度（不含翻页）＜15秒/本</t>
  </si>
  <si>
    <t>批量发本箱容量35本</t>
  </si>
  <si>
    <t>本库存放保管护照证件，整机容量1600本</t>
  </si>
  <si>
    <t>整机容量1600本</t>
  </si>
  <si>
    <t>升降电梯模块具有送本衔接模块</t>
  </si>
  <si>
    <t>收本箱，收本整齐</t>
  </si>
  <si>
    <t>新本/旧本护照、不同厚度的中国护照（外交/公务/公务普通/因私）混在一起，可以正常发本</t>
  </si>
  <si>
    <t>不危及操作人员安全方面的基本要求，具有安全标识</t>
  </si>
  <si>
    <t>设备出现故障，要有明确提示，引导用户快速处理故障</t>
  </si>
  <si>
    <t>设备出现故障，要有明确提示，引导用户快速处理故障
说明：错误故障代码要进行分类：
1、明确哪些是执行复位操作即可恢复；
2、明确哪些是要禁用模块，再进行复位；
3、哪些是需要管理员人工介入确认，手动处理完故障再恢复的。</t>
  </si>
  <si>
    <t>使用正常的真本测试，连续测试400本（48页，翻25次，累计10000次）护照，成功率99.9%</t>
  </si>
  <si>
    <t xml:space="preserve">使用正常的真本测试，连续测试400本（48页）护照，统计翻页多页的次数与成功率
说明：400本护照，每本翻页25次，共翻页10000次，最多允许翻多页出现10次（同一本护照，同一页累计出现3次及以上翻多页的，要排除掉）
</t>
  </si>
  <si>
    <t>伤本率0%</t>
  </si>
  <si>
    <t xml:space="preserve">伤本率0%
充分考虑，防止证件存取、盘点、清点、翻转、采集等过程中损坏证件
说明：原文采模块硬件导致的问题，不包含在此项目范围
</t>
  </si>
  <si>
    <t>/主要功能模块/支持证件类型(#15620)</t>
  </si>
  <si>
    <t>适用本类型：外交护照，公务护照，公务普通护照，因私护照</t>
  </si>
  <si>
    <t>横移小车到出本口失败重试</t>
  </si>
  <si>
    <t>1. 进行单本取本流程，使用螺丝刀阻挡，模拟横移小车到出本模块失败。</t>
  </si>
  <si>
    <t>1. 横移小车出本到单本出本口失败后，横移小车需复位后再次重试。</t>
  </si>
  <si>
    <t>自助存证竖着且斜着插本，失败后手动插竖着且斜着插本</t>
  </si>
  <si>
    <t>1. 点击自助存证，存证时，将本短边竖着且斜着插本插入入证口。插入时，将护照本尽可能位于两个传感器的正中间（看是否能导致刚好两个传感器都检测到证件）。
2. 报错后，继续将本竖着且斜着插本插入入证口，对设备进行复位。</t>
  </si>
  <si>
    <t>1. 不允许两个传感器都检测到证件，进本失败，并提示本可能竖着放着放进去的。
2. 设备正常复位，吐出证件，不影响后续正常使用。</t>
  </si>
  <si>
    <t>1. 
2.</t>
  </si>
  <si>
    <t>【伤本检测，动力电关开，电控按钮】</t>
  </si>
  <si>
    <t>1. 关闭动力电，再打开动力电，通道无本时，点击五个电控按键
2. 关闭动力电，再打开动力电，本位置异常时，点击五个电控按键</t>
  </si>
  <si>
    <t>1. 左右转盘可动，横移小车、机械手不可动，但长按横移小车按键、长按机械手按键，能正常复位。
2. 左右转盘可动，横移小车、机械手不可动，长按横移小车按键、长按机械手按键，已不能复位。</t>
  </si>
  <si>
    <t>转盘定位模块_盘点干扰色标测试</t>
  </si>
  <si>
    <t>1. 对设备进行整机复位
2. 复位后，在转盘定位传感器对应的原点定位色标位置处，粘贴双面胶以遮挡住定位色标
3. 进行盘点
4. 去掉双面胶后，再次进行设备整机复位、盘点</t>
  </si>
  <si>
    <t>1. 复位成功，检查转盘定位无偏差
2. 遮挡完成
3. 盘点失败，传感器检测到异常，有正确报错提示
4. 复位成功、盘点成功，检查转盘定位无偏差</t>
  </si>
  <si>
    <t>1. 
2. 
3. 
4.</t>
  </si>
  <si>
    <t>转盘定位模块_插拔转盘定位的原点传感器接线，复位无异常</t>
  </si>
  <si>
    <t>1. 进行设备整机复位，在复位过程中，插拔转盘定位的原点传感器接线
2. 复位完成后，观察复位结果</t>
  </si>
  <si>
    <t>1. 完成插拔操作
2. 复位成功，检查转盘定位无偏差；或者复位失败，有正确报错提示，且再次复位后复位成功，检查转盘定位无偏差</t>
  </si>
  <si>
    <t>转盘定位模块_复位干扰色标测试</t>
  </si>
  <si>
    <t>1. 对设备进行整机复位
2. 复位后，在转盘定位传感器对应的原点定位色标位置处，粘贴双面胶以遮挡住定位色标
3. 再次进行设备整机复位
4. 去掉双面胶后，再次进行设备整机复位</t>
  </si>
  <si>
    <t>1. 复位成功，检查转盘定位无偏差
2. 遮挡完成
3. 复位失败，传感器检测到异常，有正确报错提示
4. 复位成功，检查转盘定位无偏差</t>
  </si>
  <si>
    <t>盲区检测传感器_当转盘上的护照本露出时，存、取、盘、清报错提示</t>
  </si>
  <si>
    <t>1、手动将转盘上的护照本，推出一半
2、启动上层软件</t>
  </si>
  <si>
    <t>1. 将转盘上的护照本，从转盘内部推出一半，执行该范围取证，检查机械手、转盘是否可以移动
2. 将护照本露出部分一点点移动入转盘内部，在这缓慢移动的过程中，多次执行该范围取证，检查机械手、转盘是否可以移动
3. 将护照本完全推入到转盘内部后，执行该范围取证，检查机械手、转盘是否可以移动</t>
  </si>
  <si>
    <t>1. 存、取、盘、清报错提示
2. 存、取、盘、清报错提示
3. 存、取、盘、清可正常进行</t>
  </si>
  <si>
    <t>1. 
2. 
3.</t>
  </si>
  <si>
    <t>盲区检测传感器_当转盘上的护照本露出时，机械手、横移小车、转盘按键不可移动</t>
  </si>
  <si>
    <t>1. 将转盘上的护照本，从转盘内部推出一半，执行该范围存证，检查机械手、转盘是否可以移动
2. 将护照本露出部分一点点移动入转盘内部，在这缓慢移动的过程中，多次执行该范围存证，检查机械手、转盘是否可以移动
3. 将护照本完全推入到转盘内部后，执行该范围存证，检查机械手、转盘是否可以移动</t>
  </si>
  <si>
    <t>1. 机械手、横移小车、转盘按键不可移动
2. 机械手、横移小车、转盘按键不可移动
3. 机械手、横移小车、转盘按键可移动</t>
  </si>
  <si>
    <t>/作废用例(#18362)</t>
  </si>
  <si>
    <t>盲区检测传感器_当转盘上的护照本露出时，执行该范围清点，转盘无法移动</t>
  </si>
  <si>
    <t>1. 将转盘上的护照本，从转盘内部推出一半，执行该范围清点，检查转盘是否可以移动
2. 将护照本露出部分一点点移动入转盘内部，在这缓慢移动的过程中，多次执行该范围清点，检查转盘是否可以移动
3. 将护照本完全推入到转盘内部后，执行该范围清点，检查转盘是否可以移动</t>
  </si>
  <si>
    <t>1. 转盘无法移动
2. 转盘无法移动
3. 转盘可以移动</t>
  </si>
  <si>
    <t>盲区检测传感器_当转盘上的护照本露出时，执行该范围盘点，机械手、转盘无法移动</t>
  </si>
  <si>
    <t>1、手动将转盘上的护照本，推出一半到机械手
2、启动上层软件</t>
  </si>
  <si>
    <t>1. 将转盘上的护照本，从转盘内部推出一半，执行该范围盘点，检查机械手、转盘是否可以移动
2. 将护照本露出部分一点点移动入转盘内部，在这缓慢移动的过程中，多次执行该范围盘点，检查机械手、转盘是否可以移动
3. 将护照本完全推入到转盘内部后，执行该范围盘点，检查机械手、转盘是否可以移动</t>
  </si>
  <si>
    <t>1. 机械手、转盘无法移动
2. 机械手、转盘无法移动
3. 机械手、转盘可以移动</t>
  </si>
  <si>
    <t>盲区检测传感器_当转盘上的护照本露出时，操作转盘电控按钮，转盘无法转动</t>
  </si>
  <si>
    <t>手动将转盘上的护照本，推出一半到机械手</t>
  </si>
  <si>
    <t>1. 将转盘上的护照本，从转盘内部推出一半，操作转盘的电控按钮，检查转盘是否可以转动
2. 将护照本露出部分一点点移动入转盘内部，在这缓慢移动的过程中，多次操作转盘的电控按钮，检查转盘是否可以转动
3. 将护照本完全推入到转盘内部后，操作转盘的电控按钮，检查转盘是否可以转动</t>
  </si>
  <si>
    <t>1. 转盘无法转动
2. 转盘无法转动
3. 转盘可以转动</t>
  </si>
  <si>
    <t>盲区检测传感器_当转盘上的护照本露出时，操作机械手电控按钮，机械手无法移动</t>
  </si>
  <si>
    <t>1. 将转盘上的护照本，从转盘内部推出一半，操作机械手的电控按钮，检查机械手是否可以移动
2. 将护照本露出部分一点点移动入转盘内部，在这缓慢移动的过程中，多次操作机械手的电控按钮，检查机械手是否可以移动
3. 将护照本完全推入到转盘内部后，操作机械手的电控按钮，检查机械手是否可以移动</t>
  </si>
  <si>
    <t>1. 机械手无法移动
2. 机械手无法移动
3. 机械手可以移动</t>
  </si>
  <si>
    <t>盲区检测传感器_当机械手上的护照本露出时，操作机械手电控按钮，机械手无法移动</t>
  </si>
  <si>
    <t>手动将护照本放到机械手上</t>
  </si>
  <si>
    <t>1. 将机械手上护照本，从机械手内部推出一半，操作机械手的电控按钮，检查机械手是否可以移动
2. 将护照本露出部分一点点移动入机械手内部，在这缓慢移动的过程中，多次操作机械手的电控按钮，检查机械手是否可以移动
3. 将护照本完全推入到机械手内部后，操作机械手的电控按钮，检查机械手是否可以移动</t>
  </si>
  <si>
    <t>红色薄本软本，折本后，单本存本、单本取本各验证50次</t>
  </si>
  <si>
    <t>准备用例87039附件上的红色本折本。</t>
  </si>
  <si>
    <t>1. 设置“范围”1-200，“取证到批量箱”关闭，“随机标志”开启，点击单本存证。
2. 设置“范围”1-200，“取证到批量箱”关闭，“随机标志”开启，点击批量取证。</t>
  </si>
  <si>
    <t>1. 累计单本存本50本，无明显伤本（并记录存本失败的次数）
2. 累计单本取本50本，无明显伤本（并记录取本失败的次数）</t>
  </si>
  <si>
    <t>红色薄本软本，单本存本、单本取本各验证50次</t>
  </si>
  <si>
    <t>准备红色薄本软本，薄本不验证批量存本。</t>
  </si>
  <si>
    <t>1. 设置“范围”1-200，“取证到批量箱”关闭，“随机标志”开启，点击单本存本
2. 点击批量取本</t>
  </si>
  <si>
    <t>普通蓝皮本折本，单本存本、单本取本各验证50次</t>
  </si>
  <si>
    <t>准备用例87036附件上的蓝色本折本。</t>
  </si>
  <si>
    <t>1. 设置“范围”1-200，“取证到批量箱”关闭，“随机标志”开启，点击单本存证.
2. 点击批量取证</t>
  </si>
  <si>
    <t>1. 累计单本存本50本，无明显伤本（并记录单本存本失败的次数）
2. 累计单本取本50本，无明显伤本（并记录单本取本失败的次数）</t>
  </si>
  <si>
    <t>普通蓝皮本折本，批量存本、批量取本各验证50次</t>
  </si>
  <si>
    <t>按照附件所示将普通蓝皮本折成相似形状
备注：“范围”1-200为了方便存取，避免柜子里还有其他本，影响测试进度，“随机标志”开启，能更好的验证本库会不会存偏（连续存转盘转动少，测试意义不大）</t>
  </si>
  <si>
    <t>1. 将折本放入批量存证箱，设置“范围”1-200，，“随机标志”开启，点击批量存证
2. 点击批量取证</t>
  </si>
  <si>
    <t>1. 累计批量存本50本，无明显伤本（并记录批量存本失败的次数）
2. 累计批量取本50本，无明显伤本（并记录批量取本失败的次数）</t>
  </si>
  <si>
    <t>带资料页的泡水本单本存本、单本取本50本</t>
  </si>
  <si>
    <t>1.准备110本红色带资料页的红色本泡水约1天时间已晾干
备注：“范围”1-200为了方便存取，避免柜子里还有其他本，影响测试进度，“随机标志”开启，能更好的验证本库会不会存偏（连续存转盘转动少，测试意义不大）</t>
  </si>
  <si>
    <t>1. 设置“范围”1-200，“取证到批量箱”关闭，“随机标志”开启，点击单本存证。
2. 点击批量取证。</t>
  </si>
  <si>
    <t>1. 累计单本存本50本，无明显伤本（并记录存本本失败的次数）
2. 累计单本取本50本，无明显伤本（并记录取本本失败的次数）</t>
  </si>
  <si>
    <t>带资料页的泡水本批量存本、批量取本50本</t>
  </si>
  <si>
    <t>准备10本红色带资料页的红色本泡水约1天时间已晾干
备注：“范围”1-200为了方便存取，避免柜子里还有其他本，影响测试进度，“随机标志”开启，能更好的验证本库会不会存偏（连续存转盘转动少，测试意义不大）</t>
  </si>
  <si>
    <t>1. 设置“范围”1-200，“随机标志”开启，点击批量存证。
2. 点击批量取本</t>
  </si>
  <si>
    <t>1. 累计存本50本，无明显伤本（并记录存本失败的次数）
2. 累计取本50本，无明显伤本（并记录取本失败的次数）</t>
  </si>
  <si>
    <t>普通蓝本泡水本单本存本、单本取本50次</t>
  </si>
  <si>
    <t>准备10本常规蓝色本泡水约1天时间后已晾干</t>
  </si>
  <si>
    <t>1. 设置取证范围1-200，“取证到批量箱”关闭，“随机标志”开启，点击单本存证。
2. 设置取证范围1-200，“取证到批量箱”关闭，“随机标志”开启，点击批量取证。</t>
  </si>
  <si>
    <t>普通蓝本泡水本批量存本、批量取本50次</t>
  </si>
  <si>
    <t>准备10本常规蓝色本泡水约1天时间后已晾干
备注：“范围”1-200为了方便存取，避免柜子里还有其他本，影响测试进度，“随机标志”开启，能更好的验证本库会不会存偏（连续存转盘转动少，测试意义不大）</t>
  </si>
  <si>
    <t>1. 设置“范围”1-200，“随机标志”开启，点击批量存证。
2. 点击批量取证。</t>
  </si>
  <si>
    <t>1. 累计批量存本50本，无明显伤本（并记录存本失败的次数）
2. 累计批量取本50本，无明显伤本（并记录取本失败的次数）</t>
  </si>
  <si>
    <t>自助存证竖着插本，失败后手动插入证件</t>
  </si>
  <si>
    <t>1. 点击自助存证，存证时，将本短边插入入证口。插入时，将护照本尽可能位于两个传感器的正中间（看是否能导致刚好两个传感器都检测到证件）。
2. 短边插入被拒后，继续将本插入入证口，对设备进行复位。</t>
  </si>
  <si>
    <t>1. 进本失败，并提示本可能竖着放着放进去的。
2. 设备正常复位，不影响后续正常使用。</t>
  </si>
  <si>
    <t>【伤本检测】底层厚本随机循环盘点</t>
  </si>
  <si>
    <t>1.由于现场有三次出现存本在两个格子之间，尤其是其中两次还是厚本，测试上层正常存取证时转盘转动不能满足现场随机的场景，故使用底层验证。
2.准备至少50本因公护照</t>
  </si>
  <si>
    <t>1. 在批量存证箱放入厚本（因公护照），打开底层软件，复位后，进行随机存证。</t>
  </si>
  <si>
    <t>1. 累计随机盘点4小时正常（如果条件允许，尽可能多让它自动盘点）。</t>
  </si>
  <si>
    <t>【伤本检测】底层厚本随机取证</t>
  </si>
  <si>
    <t>1. 累计随机取证200本厚本正常。</t>
  </si>
  <si>
    <t>【伤本检测】底层厚本随机存证</t>
  </si>
  <si>
    <t>1. 累计随机存证200本厚本正常。</t>
  </si>
  <si>
    <t>【伤本检测】批量存证箱厚本（因公护照）与因私护照参杂在一起放满，批量存证</t>
  </si>
  <si>
    <t>1.上层软件在自助界面，可以正常存取证。
2.准备50本因公护照</t>
  </si>
  <si>
    <t>1. 在批量存证箱厚本（因公护照）与因私护照参杂在一起放满，进入管理员界面，点击批量存证。
2. 重复执行累计五次上述操作。</t>
  </si>
  <si>
    <t>1. 批量存证正常，不出现伤本、异响等异常。
2. 累计五次批量存证均正常。</t>
  </si>
  <si>
    <t>【伤本检测】批量存证箱放满厚本（因公护照），批量存证</t>
  </si>
  <si>
    <t>1. 在批量存证箱放满厚本（因公护照），进入管理员界面，点击批量存证。
2. 重复执行累计五次上述操作。</t>
  </si>
  <si>
    <t>因公护照循环批量取证出现本在小车里面暂停，弹窗报错“[10562]小车通道微调本位置时,本不在通道中央”1. 因公护照循环批量取证出现本在小车里面暂停，弹窗报错“[10562]小车通道微调本位置时,本不在通道中央”
2.</t>
  </si>
  <si>
    <t>【伤本检测】动力电关闭又打开，自助取证</t>
  </si>
  <si>
    <t>上层软件在自助界面，可以正常存取证。</t>
  </si>
  <si>
    <t>1. 按下动力电源（关闭动力电），再次按下动力电源（打开动力电）
2. 点击“自助取证”，刷身份证，等待取证。</t>
  </si>
  <si>
    <t>1. 动力电源正常关闭，动力电源正常打开。
2. 可正常进行自助取证。</t>
  </si>
  <si>
    <t>【伤本检测】动力电关闭又打开，自助存证</t>
  </si>
  <si>
    <t>1. 按下动力电源（关闭动力电），再次按下动力电源（打开动力电）
2. 点击“自助存证”，等待入证口开，插入证件。</t>
  </si>
  <si>
    <t>1. 动力电源正常关闭，动力电源正常打开。
2. 可正常进行自助存证。</t>
  </si>
  <si>
    <t>【伤本检测右机械手电控按钮】横移小车无本，右机械手有本不到位，不可移动</t>
  </si>
  <si>
    <t>1.发本箱出本无本，横移小车无本，左右升降电梯均无本。
2.其他位置正常。</t>
  </si>
  <si>
    <t>1. 按下“横移小车”电控按钮，使横移小车到左侧位置
2. 按下“右升降电梯”电控按钮，使升降电梯到达出本口高度（方便手动插本）
3. 手动往右机械手插入一本证，一大半露出在外面（此处也可用标贴挡住机械手爪子处的传感器，模拟机械手卡证）。
4. 按下“右机械手”电控按钮，重复按5次</t>
  </si>
  <si>
    <t>1. 横移小车正常移动到预期位置。
2. 升降电梯正常移动到预期位置。
3. 
4. 右机械手尝试将本移动到中间位置失败，机械手不可升降。</t>
  </si>
  <si>
    <t>【伤本检测右机械手电控按钮】横移小车无本，右机械手有本到位，可移动</t>
  </si>
  <si>
    <t>1. 按下“横移小车”电控按钮，使横移小车到左侧位置
2. 按下“右升降电梯”电控按钮，使升降电梯到达出本口高度（方便手动插本）
3. 手动往右机械手插入一本证，一小半露出在外面。
4. 按下“右机械手”电控按钮，重复按5次</t>
  </si>
  <si>
    <t>1. 横移小车正常移动到预期位置。
2. 升降电梯正常移动到预期位置。
3. 
4. 右机械手尝试将本移动到中间位置成功，机械手再正常移动到预期位置。</t>
  </si>
  <si>
    <t>【伤本检测右机械手电控按钮】横移小车两侧有本（正常），右机械手无本，可移动</t>
  </si>
  <si>
    <t>1. 按下“横移小车”电控按钮，使横移小车到左侧位置
2. 按下“右升降电梯”电控按钮，使升降电梯到达出本口高度（方便手动插本）
3. 手动往右机械手插入一本证，一半露出在外面。
4. 按下“右机械手”电控按钮，重复按5次</t>
  </si>
  <si>
    <t>1. 横移小车正常移动到预期位置。
2. 升降电梯正常移动到预期位置。
3. 
4. 左机械手正常移动。</t>
  </si>
  <si>
    <t>【伤本检测右机械手电控按钮】横移小车一侧有本（异常），右机械手无本，不可移动</t>
  </si>
  <si>
    <t>1. 横移小车正常移动到预期位置。
2. 升降电梯正常移动到预期位置。
3. 
4. 右机械手不移动。</t>
  </si>
  <si>
    <t>【伤本检测左机械手电控按钮】横移小车无本，左机械手有本不到位，不可移动</t>
  </si>
  <si>
    <t>1. 按下“横移小车”电控按钮，使横移小车到右侧位置
2. 按下“左升降电梯”电控按钮，使升降电梯到达出本口高度（方便手动插本）
3. 手动往左机械手插入一本证，一大半露出在外面（此处也可用标贴挡住机械手爪子处的传感器，模拟机械手卡证）。
4. 按下“左机械手”电控按钮，重复按5次</t>
  </si>
  <si>
    <t>1. 横移小车正常移动到预期位置。
2. 升降电梯正常移动到预期位置。
3. 
4. 左机械手尝试将本移动到中间位置失败，机械手不可升降。</t>
  </si>
  <si>
    <t>【伤本检测左机械手电控按钮】横移小车无本，左机械手有本到位，可移动</t>
  </si>
  <si>
    <t>1. 按下“横移小车”电控按钮，使横移小车到右侧位置
2. 按下“左升降电梯”电控按钮，使升降电梯到达出本口高度（方便手动插本）
3. 手动往左机械手插入一本证，一半露出在外面。
4. 按下“左机械手”电控按钮，重复按5次</t>
  </si>
  <si>
    <t>1. 横移小车正常移动到预期位置。
2. 升降电梯正常移动到预期位置。
3. 
4. 左机械手尝试将本移动到中间位置成功，机械手再正常移动到预期位置。</t>
  </si>
  <si>
    <t>【伤本检测左机械手电控按钮】横移小车两侧有本（正常），左机械手无本，可移动</t>
  </si>
  <si>
    <t>1. 按下“横移小车”电控按钮，使横移小车到右侧位置
2. 手动往横移小车插入本（确保横移小车正常检测到本）
3. 按下“左机械手”电控按钮，重复按5次</t>
  </si>
  <si>
    <t>1. 横移小车正常移动到预期位置。
2. 确保横移小车正常检测到本
3. 左机械手正常移动。</t>
  </si>
  <si>
    <t>【伤本检测左机械手电控按钮】横移小车一侧有本（异常），左机械手无本，不可移动</t>
  </si>
  <si>
    <t>1. 按下“横移小车”电控按钮，使横移小车到右侧位置
2. 手动往横移小车插入一本证，一半露出在外面
3. 按下“左机械手”电控按钮，重复按5次</t>
  </si>
  <si>
    <t>1. 横移小车正常移动到预期位置。
2. 
3. 左机械手不移动。</t>
  </si>
  <si>
    <t>【伤本检测左机械手电控按钮】横移小车无本，左机械手无本，可直接移动</t>
  </si>
  <si>
    <t>1. 按下“左机械手”电控按钮，重复按11次（验证各个位置）。</t>
  </si>
  <si>
    <t>1. 左机械手正常移动到预期位置。</t>
  </si>
  <si>
    <t>【伤本检测横移小车电控按钮】发本箱出本无本，横移小车无本，右升降电梯有本，不可移动</t>
  </si>
  <si>
    <t>1. 按下“横移小车”电控按钮，使横移小车到左侧位置
2. 按下“左升降电梯”电控按钮，使升降电梯到达出本口高度（方便手动插本）
3. 手动往右机械手插入一本证，一半露出在外面。
4. 按下“横移小车”电控按钮，重复按3次（验证是否一直保护）。</t>
  </si>
  <si>
    <t>1. 横移小车正常移动到预期位置。
2. 升降电梯正常移动到预期位置。
3. 
4. 横移小车不移动。</t>
  </si>
  <si>
    <t>【伤本检测横移小车电控按钮】发本箱出本无本，横移小车无本，左升降电梯有本，不可移动</t>
  </si>
  <si>
    <t>1. 按下“横移小车”电控按钮，使横移小车到右侧位置
2. 按下“左升降电梯”电控按钮，使升降电梯到达出本口高度（方便手动插本）
3. 手动往左机械手插入一本证，一半露出在外面。
4. 按下“横移小车”电控按钮，重复按3次（验证是否一直保护）。</t>
  </si>
  <si>
    <t>【伤本检测横移小车电控按钮】发本箱出本无本，横移小车卷本异常，左右升降电梯无本，不移动</t>
  </si>
  <si>
    <t>1. 按下“横移小车”电控按钮，使横移小车到最右侧位置（方便手动模拟堵本），使用贴纸遮挡靠近机械手的那组传感器
2. 按下“横移小车”电控按钮，重复按5次（验证各个位置）。</t>
  </si>
  <si>
    <t>1. 横移小车正常移动到预期位置。
2. 横移小车尝试卷本到正常位置，（未到正常位置，还有一组传感器未挡住）横移小车不可移动。</t>
  </si>
  <si>
    <t>【伤本检测横移小车电控按钮】发本箱出本无本，横移小车有本，左右升降电梯无本，需先将本移动到中间，再移动</t>
  </si>
  <si>
    <t>1. 按下“横移小车”电控按钮，使横移小车到最右侧位置（方便手动插本），手动插入一本证，一半露出在横移小车外。
2. 按下“横移小车”电控按钮，重复按5次（验证各个位置）。</t>
  </si>
  <si>
    <t>1. 横移小车正常移动到预期位置。
2. 横移小车将本收到正常位置后，正常移动。</t>
  </si>
  <si>
    <t>【伤本检测横移小车电控按钮】发本箱出本有本，不可移动</t>
  </si>
  <si>
    <t>1. 手动将发本箱本推出一半，模拟发本带本出来的情况。
2. 按下“横移小车”电控按钮。</t>
  </si>
  <si>
    <t>1. 不出现伤本情况。
2. 横移小车不可移动（避免撞本）</t>
  </si>
  <si>
    <t>【伤本检测横移小车电控按钮】发本箱出本无本，横移小车无本，左右升降电梯均无本，可直接移动</t>
  </si>
  <si>
    <t>1. 按下“横移小车”电控按钮，重复按5次（验证各个位置）。</t>
  </si>
  <si>
    <t>1. 横移小车均正常移动。</t>
  </si>
  <si>
    <t>【伤本检测右转盘按钮】升降电梯有本不到位，右转盘不可以移动。</t>
  </si>
  <si>
    <t>1. 按下右机械手按钮到合适位置，手动往插一张本到一半位置，按下右转盘按钮。
2. 按下左转盘按钮。</t>
  </si>
  <si>
    <t>1. 右转盘不可以移动。
2. 右转盘可以移动。</t>
  </si>
  <si>
    <t>【伤本检测左转盘按钮】升降电梯有本不到位，不可移动</t>
  </si>
  <si>
    <t>1. 按下左机械手按钮到合适位置，手动往插一张本到一半位置，按下左转盘按钮。
2. 按下右转盘按钮。</t>
  </si>
  <si>
    <t>1. 左转盘不可以移动。
2. 右转盘可以移动。</t>
  </si>
  <si>
    <t>【伤本检测】关键位置传感器失灵，升降电梯SN708【检测有本】</t>
  </si>
  <si>
    <t>1. 打开维护软件，按下升降电梯按钮，到合适插本位置，观察传感器状态。
2. 插入本，观察传感器变化。
3. 拔掉升降电梯传感器供电线，观察传感器变化。</t>
  </si>
  <si>
    <t>1. 升降电梯无本为一个状态
2. 升降电梯有本为另一个状态。
3. 拔掉传感器与有本为同一个状态（避免传感器坏了还能运动伤本）</t>
  </si>
  <si>
    <t>【伤本检测】关键位置传感器失灵，横移小车SN502【检测有本】</t>
  </si>
  <si>
    <t>1. 打开维护软件，按下横移小车按钮，到合适插本位置，观察传感器状态。
2. 插入本，观察传感器变化。
3. 拔掉横移小车传感器供电线，观察传感器变化。</t>
  </si>
  <si>
    <t>1. 横移小车无本为一个状态
2. 横移小车有本为另一个状态。
3. 拔掉传感器与有本为同一个状态（避免传感器坏了还能运动伤本）</t>
  </si>
  <si>
    <t>【伤本检测】修改机械手到本库参数±20脉冲（模拟更换机械手后，升降位置偏差），批量取证100本</t>
  </si>
  <si>
    <t>1. 打开参数设置，将左侧电梯第1-3层，参数+20脉冲，在1-300范围内盘点50次（打开盘点经过出口）
2. 打开参数设置，将左侧电梯第1-3层，参数-20脉冲，在1-300范围内盘点50次（打开盘点经过出口）</t>
  </si>
  <si>
    <t>1. 过程中不出现明显伤证，并拍照记录轻微伤本情况。
2. 过程中不出现明显伤证，并拍照记录轻微伤本情况。</t>
  </si>
  <si>
    <t>【伤本检测】修改横移小车到机械手参数±20脉冲（模拟更换横移小车，与机械手水平方向未对准），批量存、取100本</t>
  </si>
  <si>
    <t>1.上层软件在自助界面，可以正常存取证。
2.参数修改前，先拍照备份，测试完成后，参数还原。</t>
  </si>
  <si>
    <t>1. 打开维护软件，进入“参数”-》“小车”，将“左电梯-本衔接”参数+20，保存后，打开盘点功能（勾选盘点经过本口），盘点50次。
2. 打开维护软件，进入“参数”-》“小车”，将“左电梯-本衔接”参数-20，保存后，打开盘点功能（勾选盘点经过本口），盘点50次。
3. 打开维护软件，进入“参数”-》“小车”，将“横移小车-左本衔接位”参数+20，保存后，打开盘点功能（勾选盘点经过本口），盘点50次。
4. 打开维护软件，进入“参数”-》“小车”，将“横移小车-左本衔接位”参数-20，保存后，打开盘点功能（勾选盘点经过本口），盘点50次。</t>
  </si>
  <si>
    <t>1. 过程中不出现明显伤证，并拍照记录轻微伤本情况。
2. 过程中不出现明显伤证，并拍照记录轻微伤本情况。
3. 过程中不出现明显伤证，并拍照记录轻微伤本情况。
4. 过程中不出现明显伤证，并拍照记录轻微伤本情况。</t>
  </si>
  <si>
    <t>【伤本检测】本在自助取证口进一半位置，报错处理后，不影响存、取、盘、清业务</t>
  </si>
  <si>
    <t>1. 手动在取证口传感器上贴个标签纸（模拟特殊原因，无法自动处理的情况）。
2. 点击自助存证，等待设备报错。
3. 手动取下标贴，点击确定，等待设备复位。
4. 进行存、取、盘、清操作</t>
  </si>
  <si>
    <t>1. 不出现伤本情况。
2. 尝试清理取证口的本到回收箱。
3. 复位成功。
4. 存、取、盘、清业务不受影响</t>
  </si>
  <si>
    <t>【伤本检测】本在自助取证口进一半位置，存、取、盘、清报错提示</t>
  </si>
  <si>
    <t>1. 手动将一本证，从自助取证口另一侧插入。
2. 进行存、取、盘、清操作</t>
  </si>
  <si>
    <t>1. 不出现伤本情况。
2. 存、取、盘、清前提示检测到取证口有证。</t>
  </si>
  <si>
    <t>【伤本检测】本库证件出一大半位置，断电，批量存证</t>
  </si>
  <si>
    <t>1.上层软件在自助界面，可以正常存取证。
2.机械手无本</t>
  </si>
  <si>
    <t>1. 按下左机械手按钮，到合适插本位置，手动往插一张本到一半位置。
2. 工控机关机、动力电关闭。
3. 打开工控机、打开动力电，启动上层软件。
4. 进入管理员界面，点击批量存证。</t>
  </si>
  <si>
    <t>1. 不出现伤本情况。
2. 设备正常关闭。
3. 设备正常打开，软件正常启动。
4. 机械手将本收到机械手里面，并清理到旧证回收箱；正常进行批量存证。</t>
  </si>
  <si>
    <t>【伤本检测】本库证件出一大半位置，断电，自助取证</t>
  </si>
  <si>
    <t>1. 按下左机械手按钮，到合适插本位置，手动往插一张本到一半位置。
2. 工控机关机、动力电关闭。
3. 打开工控机、打开动力电，启动上层软件。
4. 点击自助取证。</t>
  </si>
  <si>
    <t>1. 不出现伤本情况。
2. 设备正常关闭。
3. 设备正常打开，软件正常启动。
4. 机械手将本收到机械手里面，并清理到旧证回收箱；正常进行自助取证。</t>
  </si>
  <si>
    <t>【伤本检测】本库证件出一大半位置，断电，自助存证</t>
  </si>
  <si>
    <t>1. 按下左机械手按钮，到合适插本位置，手动往插一张本到一半位置。
2. 工控机关机、动力电关闭。
3. 打开工控机、打开动力电，启动上层软件。
4. 点击自助存证。</t>
  </si>
  <si>
    <t>1. 不出现伤本情况。
2. 设备正常关闭。
3. 设备正常打开，软件正常启动。
4. 机械手将本收到机械手里面，并清理到旧证回收箱；正常进行自助存证。</t>
  </si>
  <si>
    <t>【伤本检测】本库证件出一小半位置，存、取、盘、清报错提示</t>
  </si>
  <si>
    <t>1. 寻找本库中某个有证的位置，且左右两边无其他本（方便操作），通过按下升降电梯按钮、转盘按钮对准该证件，手动再将本推到爪子一小半位置。
2. 进行存、取、盘、清操作</t>
  </si>
  <si>
    <t>1. 不出现伤本情况。
2. 、取、盘、清前提示检测到机械手有证。</t>
  </si>
  <si>
    <t>【伤本检测】本库证件出一小半位置，复位失败不伤本，正常提示</t>
  </si>
  <si>
    <t>1. 寻找本库中某个有证的位置，且左右两边无其他本（方便操作），通过按下升降电梯按钮、转盘按钮对准该证件，手动再将本推到爪子一小半位置。
2. 点击复位。</t>
  </si>
  <si>
    <t>1. 不出现伤本情况。
2. 机械手尝试将本收到机械手里面，并没有将本抓到机械手中间【避免本子本身异常，爪子伸出太多，损坏本】，提示机械手检测到有本，抓本失败。</t>
  </si>
  <si>
    <t>【伤本检测】本库证件出一大半位置，复位成功，不伤本</t>
  </si>
  <si>
    <t>1. 寻找本库中某个有证的位置，且左右两边无其他本（方便操作），通过按下升降电梯按钮、转盘按钮对准该证件，手动再将本推到爪子一大半位置。
2. 点击复位。</t>
  </si>
  <si>
    <t>1. 不出现伤本情况。
2. 机械手将本收到机械手里面，并清理到旧证回收箱。</t>
  </si>
  <si>
    <t>【伤本检测】机械手本在一半位置，断电，存、取、盘、清报错提示</t>
  </si>
  <si>
    <t>1.上层软件在自助界面，可以正常存取证。
2.机械手无本，且处于横移小车同一高度。</t>
  </si>
  <si>
    <t>1. 按下左机械手按钮，到合适插本位置，手动往插一张本到一半位置。
2. 工控机关机、动力电关闭。
3. 打开工控机、打开动力电，启动上层软件。
4. 进行存、取、盘、清操作</t>
  </si>
  <si>
    <t>1. 不出现伤本情况。
2. 设备正常关闭。
3. 设备正常打开，软件正常启动。
4. 检测到设备断电，进行复位操作。复位成功后，不影响后续存、取、盘、清业务。</t>
  </si>
  <si>
    <t>【伤本检测】横移小车证本无法清走，报错手动处理后，不影响存、取、盘、清业务</t>
  </si>
  <si>
    <t>1.上层软件在自助界面，可以正常存取证。
2.横移小车无本</t>
  </si>
  <si>
    <t>1. 按下横移小车按钮，到合适插本位置，手动在传感器上贴个标签纸（模拟特殊原因，无法自动处理的情况）。
2. 点击自助存证，等待设备报错。
3. 手动取下标贴，点击确定，等待设备复位。
4. 进行存、取、盘、清操作</t>
  </si>
  <si>
    <t>1. 不出现伤本情况。
2. 横移小车尝试将本收到小车中间失败，报错横移小车有本，且进本口不进证（避免丢到旧证回收箱，需要管理员开门）
3. 复位成功。
4. 报错处理后，不影响存、取、盘、清业务</t>
  </si>
  <si>
    <t>【伤本检测】横移小车证本无法清走，自助存证/自助取证/批量存证/批量取证/盘点/清点前报错</t>
  </si>
  <si>
    <t>1. 按下横移小车按钮，到合适插本位置，手动在传感器上贴个标签纸（模拟特殊原因，无法自动处理的情况）。
2. 点击自助存证/自助取证/批量存证/批量取证/盘点/清点</t>
  </si>
  <si>
    <t>1. 不出现伤本情况。
2. 自助存证/自助取证/批量存证/批量取证/盘点/清点前报错提示</t>
  </si>
  <si>
    <t>【伤本检测】发本箱本发一半位置，报错未处理多次重试，软件需正常</t>
  </si>
  <si>
    <t>1.上层软件在自助界面，可以正常存取证。
2.后台录入员工信息、证件信息，达到可以下发任务状态。</t>
  </si>
  <si>
    <t>1. 手动将发本箱本推出一半，模拟发本带本出来的情况。
2. 点击自助取证，等待报错。
3. 多次点击“确定”。</t>
  </si>
  <si>
    <t>1. 不出现伤本情况。
2. 横移小车不可移动，弹框提示发本箱检测到出本的错误，且爪子不取出证（避免丢到旧证回收箱，需要管理员开门）
3. 多次报错后，进行维护界面，解除维护后继续报错，软件需正常</t>
  </si>
  <si>
    <t>【伤本检测】发本箱本发一半位置，报错处理后，不影响存、取、盘、清业务</t>
  </si>
  <si>
    <t>1. 手动将发本箱本推出一半，模拟发本带本出来的情况。
2. 点击自助取证，等待报错。
3. 手动拿出发本箱一半位置的证件后，进行存、取、盘、清操作</t>
  </si>
  <si>
    <t>1. 不出现伤本情况。
2. 横移小车不可移动，弹框提示发本箱检测到出本的错误，且爪子不取出证（避免丢到旧证回收箱，需要管理员开门）
3. 报错处理后，不影响存、取、盘、清业务</t>
  </si>
  <si>
    <t>【采集模块伤本检测】模拟本在采集模块与翻转机构一半位置，报错后进行复位，不伤本</t>
  </si>
  <si>
    <t>1. 手动将本推到采集模块与翻转机构一半位置，模拟报错后进行复位</t>
  </si>
  <si>
    <t>1. 正常复位成功或正常提示错误，且不能伤本。</t>
  </si>
  <si>
    <t>文采护照采集的故障率≤0.1%</t>
  </si>
  <si>
    <t>准备1000本护照，存入设备中</t>
  </si>
  <si>
    <t>1. 对1000本护照进行文采模块的翻页采集，记录故障率</t>
  </si>
  <si>
    <t>1. 文采护照采集的故障率≤0.1%</t>
  </si>
  <si>
    <t>文采护照采集伤本率为0</t>
  </si>
  <si>
    <t>准备100本护照，存入设备中</t>
  </si>
  <si>
    <t>1. 对100本护照，使用文采模块进行翻页采集，检查是否存在伤本</t>
  </si>
  <si>
    <t>1. 伤本率为0</t>
  </si>
  <si>
    <t>证件采集背脊检测(#17219)</t>
  </si>
  <si>
    <t>背脊朝里，开口朝外存入证件后，下发采集任务，采集前检测出来，不伤本</t>
  </si>
  <si>
    <t>1. 将证件以背脊朝里，开口朝外方式，存入设备中，再下发该证件的采集任务</t>
  </si>
  <si>
    <t>1. 采集前有工位可检测出来背脊方向不对，并报错提示，且不伤本。</t>
  </si>
  <si>
    <t>采集前不会检测证件的方向且不报错1. 采集前不会检测证件的方向且不报错</t>
  </si>
  <si>
    <t>取证_不存在的证件，取证失败，有正确报错提示</t>
  </si>
  <si>
    <t>1. 下发取证任务，提前手动取出相应证件，再执行取证操作</t>
  </si>
  <si>
    <t>1. 不存在的证件，取证失败，有正确报错提示</t>
  </si>
  <si>
    <t>取证_无效凭证取证失败，有正确报错提示</t>
  </si>
  <si>
    <t>1. 下发取证任务，使用无效凭证（不匹配的二维码、身份证）执行取证操作</t>
  </si>
  <si>
    <t>1. 无效凭证取证失败，有正确报错提示</t>
  </si>
  <si>
    <t>存证_无效证件存证失败，有正确报错提示</t>
  </si>
  <si>
    <t>1. 使用无效证件，执行批量入口存证
2. 使用无效证件，执行单本入口存证</t>
  </si>
  <si>
    <t>1. 证件存入失败，证件自动退出到废证箱
2. 证件存入失败，证件自动退出到单本口</t>
  </si>
  <si>
    <t>取证_无效证件取证失败，有正确报错提示</t>
  </si>
  <si>
    <t>1. 使用无效证件替换本库中的证件，执行取证</t>
  </si>
  <si>
    <t>1. 取证失败，软件给出提示信息</t>
  </si>
  <si>
    <t>存取证过程中，断电再上电，复位无异常、证件送入废本箱或送回原单元格、无伤本</t>
  </si>
  <si>
    <t>1. 设备存取证的过程中（机械手刚刚抓取到证件、证件在移动的机械手上、证件传送给横移小车中途、证件在移动的横移小车上、证件传送给出本口中途，等等动作），对设备进行断电再上电，检查设备复位是否异常
2. 设备复位后，证件是否被送入废本箱或送回原单元格
3. 取出证件，检查证件是否有损伤</t>
  </si>
  <si>
    <t>1. 设备复位无异常
2. 复位后，证件被送入废本箱或送回原单元格
3. 证件无损伤</t>
  </si>
  <si>
    <t>将本塞出发本箱的一半位置，操作横移小车的电控按钮</t>
  </si>
  <si>
    <t>1. 手动将发本箱本推出一半，操作横移小车的电控按钮</t>
  </si>
  <si>
    <t>1. 横移小车无法移动、不会导致伤本</t>
  </si>
  <si>
    <t>本子在横移小车的一半位置时，操作横移小车的电控按钮</t>
  </si>
  <si>
    <t>1. 下发存本任务，目测本子送到横移小车一半位置时，按下横移小车的电控按钮</t>
  </si>
  <si>
    <t>1. 本子被自动送回横移小车内部后，横移小车才移动、不伤本</t>
  </si>
  <si>
    <t>机械手取本或存本到一半位置时，操作机械手的电控按钮</t>
  </si>
  <si>
    <t>1. 下发取本或存本任务，目测机械手抓到本的一半时，按下操作机械手的电控按钮</t>
  </si>
  <si>
    <t>1. 机械手无法移动、不会导致伤本</t>
  </si>
  <si>
    <t>机械手取本或存本到一半位置时，操作转盘的电控按钮</t>
  </si>
  <si>
    <t>1. 下发取本或存本任务，目测机械手抓到本的一半时，按下转盘的转动按钮</t>
  </si>
  <si>
    <t>1. 转盘不转动、不会导致伤本</t>
  </si>
  <si>
    <t>横移小车上有本，管理员执行设备复位</t>
  </si>
  <si>
    <t>说明：
本子塞到横移小车上时，1）不完全塞入，留一半位置；或者，2）本子完整塞入横移小车里。</t>
  </si>
  <si>
    <t>1. 打开设备门，手动将本塞到横移小车上，管理员执行设备复位</t>
  </si>
  <si>
    <t>1. 设备复位，横移小车上的本子被丢到废本箱或存入单元格</t>
  </si>
  <si>
    <t>横移小车上有本，启动上层应用程序</t>
  </si>
  <si>
    <t>1. 打开设备门，手动将本塞到横移小车上，启动上层应用程序</t>
  </si>
  <si>
    <t>横移小车上有本，下发清点</t>
  </si>
  <si>
    <t>1. 打开设备门，手动将本塞到横移小车上，下发清点</t>
  </si>
  <si>
    <t>1. 因异常本子与清点流程无干涉，可以不做处理。清点成功。</t>
  </si>
  <si>
    <t>横移小车上有本，下发盘点</t>
  </si>
  <si>
    <t>说明：
本子塞到横移小车上，不完全塞入，留一半位置
下发盘点任务时，下发需要让机械手经过横移小车的位置的盘点任务，才能知道机械手是否会撞击横移小车的本或者能正确报错</t>
  </si>
  <si>
    <t>1. 打开设备门，手动将本塞到横移小车上，下发盘点
2. 继续完成盘点任务</t>
  </si>
  <si>
    <t>1. 不伤本且有正确报错；报错后确认复位，横移小车上的本子被丢到废本箱或存入单元格
2. 盘点成功</t>
  </si>
  <si>
    <t>横移小车上有本，下发批量存证</t>
  </si>
  <si>
    <t>1. 打开设备门，手动将本塞到横移小车上，下发批量存证
2. 继续完成存证任务</t>
  </si>
  <si>
    <t>1. 不伤本且有正确报错；报错后确认复位，横移小车上的本子被丢到废本箱
2. 存证成功</t>
  </si>
  <si>
    <t>横移小车上有本，下发批量取证</t>
  </si>
  <si>
    <t>1. 打开设备门，手动将本塞到横移小车上，下发批量取证
2. 继续完成取证任务</t>
  </si>
  <si>
    <t>1. 不伤本且有正确报错；报错后确认复位，横移小车上的本子被存入本库中，软件记录该证异常
2. 取证成功</t>
  </si>
  <si>
    <t>横移小车上有本，下发自助存证</t>
  </si>
  <si>
    <t>1. 打开设备门，手动将本塞到横移小车上，下发自助存证
2. 继续完成存证任务</t>
  </si>
  <si>
    <t>横移小车上有本，下发自助取证</t>
  </si>
  <si>
    <t>1. 打开设备门，手动将本塞到横移小车上，下发自助取证
2. 继续完成取证任务</t>
  </si>
  <si>
    <t>机械手有本，管理员执行设备复位</t>
  </si>
  <si>
    <t>制造机械手有本的异常情况</t>
  </si>
  <si>
    <t>1. 机械手有本，管理员执行设备复位</t>
  </si>
  <si>
    <t>1. 设备复位，机械手的本子被丢到废本箱或存入单元格</t>
  </si>
  <si>
    <t>机械手有本，启动上层应用程序</t>
  </si>
  <si>
    <t>1. 机械手有本，启动上层应用程序</t>
  </si>
  <si>
    <t>机械手有本，下发清点</t>
  </si>
  <si>
    <t>制造进本工位有本的异常情况</t>
  </si>
  <si>
    <t>1. 机械手有本到位，下发清点
2. 机械手有本不到位，下发清点</t>
  </si>
  <si>
    <t>1. 与清点任务无干涉，可以进行清点。
2. 与清点任务有干涉，不能进行清点。</t>
  </si>
  <si>
    <t>进本工位有本，下发盘点</t>
  </si>
  <si>
    <t>1. 进本工位有本，下发盘点</t>
  </si>
  <si>
    <t>1. 因为与盘点任务无干涉，可以不处理异常本子。盘点成功。</t>
  </si>
  <si>
    <t>进本工位有本，下发批量存证</t>
  </si>
  <si>
    <t>1. 进本工位有本，下发批量存证
2. 继续完成存证任务</t>
  </si>
  <si>
    <t>1. 不伤本且有正确报错；报错后确认复位，进本工位上的本子被丢到废本箱或存入单元格
2. 存证成功</t>
  </si>
  <si>
    <t>进本工位有本，下发批量取证</t>
  </si>
  <si>
    <t>1. 进本工位有本，下发批量取证
2. 继续完成取证任务</t>
  </si>
  <si>
    <t>1. 不伤本且有正确报错；报错后确认复位，进本工位上的本子被丢到废本箱或存入单元格
2. 取证成功</t>
  </si>
  <si>
    <t>进本工位有本，下发自助存证</t>
  </si>
  <si>
    <t>1. 进本工位有本，下发自助存证
2. 继续完成存证任务</t>
  </si>
  <si>
    <t>进本工位有本，下发自助取证</t>
  </si>
  <si>
    <t>1. 进本工位有本，下发自助取证
2. 继续完成取证任务</t>
  </si>
  <si>
    <t>将本塞出发本箱的一半位置，再下发批量取证</t>
  </si>
  <si>
    <t>1. 手动将发本箱本推出一半，下发批量取证任务
2. 报错未处理，多次重试
3. 报错后解决故障，等待复位</t>
  </si>
  <si>
    <t>1. 不伤本且有正确报错；
2. 仍报错；
3. 复位成功</t>
  </si>
  <si>
    <t>将本塞出发本箱的一半位置，再下发清点</t>
  </si>
  <si>
    <t>1. 手动将发本箱本推出一半，下发清点任务</t>
  </si>
  <si>
    <t>1. 因为与清点任务无干涉，可以不处理异常本子。清点成功。</t>
  </si>
  <si>
    <t>将本塞出发本箱的一半位置，再下发盘点</t>
  </si>
  <si>
    <t>1. 手动将发本箱本推出一半，下发盘点任务</t>
  </si>
  <si>
    <t>下发存证任务，背脊朝里，开口朝外存入证件，不伤本</t>
  </si>
  <si>
    <t>1.后台下发自助存证/批量存证任务</t>
  </si>
  <si>
    <t>1. 设备开始进行存证，存证方式背脊朝里，开口朝外存入证件，再进行清点，盘点，再取出证件进行观察</t>
  </si>
  <si>
    <t>1. 和存本之前保持一致，不伤本</t>
  </si>
  <si>
    <t>下发单本存证任务，本竖向放入单本口，不伤本，有正确报错</t>
  </si>
  <si>
    <t>1.后台下发自助存证/批量存证任务
2.说明：“竖向”即本子背脊朝左侧或朝右侧</t>
  </si>
  <si>
    <t>1. 开始进行存证，本竖向放入单本口</t>
  </si>
  <si>
    <t>1. 不伤本，不能存入异常方向放入的护照本，有正确报错提示</t>
  </si>
  <si>
    <t>摄像头_拍照效果合格</t>
  </si>
  <si>
    <t>1. 检查双目摄像头的拍摄图像质量</t>
  </si>
  <si>
    <t>1. 拍摄图像清晰、亮度适中、整体效果合格</t>
  </si>
  <si>
    <t>登录程序，执行一系列操作后双目摄像头并没有工作（配置工具已开启）且路径下面没有对应的拍照图片。1. 登录程序，执行一系列操作后双目摄像头并没有工作（配置工具已开启）且路径下面没有对应的拍照图片。</t>
  </si>
  <si>
    <t>正常单指指纹采集</t>
  </si>
  <si>
    <t>1. 依次放置10个手指进行单指指纹采集；
2. 检查指纹采集质量；
3. 检查采集的指纹图像是否镜像显示；</t>
  </si>
  <si>
    <t>1. 指纹采集功能正常，能正常录制、显示、保存指纹；
2. 指纹采集质量合格，指纹清晰完整；
3. 采集的指纹图像无镜像显示。</t>
  </si>
  <si>
    <t>/其他需求/环境要求(#15646)</t>
  </si>
  <si>
    <t>工作温度5～35°C(#15495)</t>
  </si>
  <si>
    <t>5℃低温运行</t>
  </si>
  <si>
    <t>设备测试前，功能正常</t>
  </si>
  <si>
    <t>1. 设定低温运行温度5度，测试时长8小时
2. 将设备放入高低温箱中，设备上电，运行硬件测试程序
3. 测试过程中，巡查设备运行情况
4. 测试完后，恢复室温，检查设备运行情况</t>
  </si>
  <si>
    <t>1. 功能正常，不出现模块异常现象
2. 功能正常，不出现模块异常现象
3. 功能正常，不出现模块异常现象
4. 功能正常，不出现模块异常现象</t>
  </si>
  <si>
    <t>工作湿度20～80％RH(相对湿度、无结露)(#15496)</t>
  </si>
  <si>
    <t>35℃高温运行(带湿度）</t>
  </si>
  <si>
    <t>1. 设定高温运行温度35度，湿度设定80%，测试时长8小时
2. 将设备放入高低温箱中，设备上电，运行硬件测试程序
3. 测试过程中，巡查设备运行情况
4. 测试完后，恢复室温，检查设备运行情况</t>
  </si>
  <si>
    <t>存取证测试，取出到出证口，不移除证件，回存到其他格口，连续一直运行直到出现故障或超过72小时。(#15522)</t>
  </si>
  <si>
    <t>存取证跑机72小时</t>
  </si>
  <si>
    <t>底层维护软件，勾选循环、过出本口工位，进行盘点本</t>
  </si>
  <si>
    <t>1. 使用底层维护软件，进行连续72小时的存取证跑机（取出到出证口，不移除证件，回存到其他格口）</t>
  </si>
  <si>
    <t>1. 连续一直运行直到出现故障，记录跑机时长；或超过72小时无故障则停止</t>
  </si>
  <si>
    <t>证件超时，回收到小车后本一直在小车里面，提示报错”证件通道微调本位置时,本不在通道中央“1. 证件超时，回收到小车后本一直在小车里面，提示报错”证件通道微调本位置时,本不在通道中央“</t>
  </si>
  <si>
    <t>条码枪读头ES4650-SR 串口接口 民德 Mindeo(#15486)</t>
  </si>
  <si>
    <t>条码枪_规格检查</t>
  </si>
  <si>
    <t>1. 检查条码枪规格</t>
  </si>
  <si>
    <t>1. ES4650-SR 串口接口 民德 Mindeo</t>
  </si>
  <si>
    <t>身份证阅读器深圳德卡(#15485)</t>
  </si>
  <si>
    <t>身份证阅读器_规格检查</t>
  </si>
  <si>
    <t>1. 检查身份证阅读器规格</t>
  </si>
  <si>
    <t>1. 深圳德卡</t>
  </si>
  <si>
    <t>指纹仪北京眼神智能科技TCS316N-125CCB_V1.2(#15484)</t>
  </si>
  <si>
    <t>指纹仪_规格检查</t>
  </si>
  <si>
    <t>1. 检查指纹仪规格</t>
  </si>
  <si>
    <t>1. 北京眼神智能科技TCS316N-125CCB_V1.2</t>
  </si>
  <si>
    <t>触摸显示屏：电容触摸屏、不小于19寸(#15482)</t>
  </si>
  <si>
    <t>显示屏：电容触摸屏、不小于19寸</t>
  </si>
  <si>
    <t>1. 检查显示屏类型
2. 检查显示屏尺寸</t>
  </si>
  <si>
    <t>1. 类型：电容触摸屏
2. 尺寸：不小于19寸</t>
  </si>
  <si>
    <t>适用本类型：外交护照，公务护照，公务普通护照，因私护照(#15455)</t>
  </si>
  <si>
    <t>适用本类型：外交护照、公务护照、公务普通护照、因私护照</t>
  </si>
  <si>
    <t>准备：外交护照，公务护照，公务普通护照，因私护照</t>
  </si>
  <si>
    <t>1. 使用外交护照、公务护照、公务普通护照、因私护照，进行存证、取证、翻页采集、盘点等操作，检查设备是否适用以上本类型</t>
  </si>
  <si>
    <t>1. 设备适用本类型包括外交护照、公务护照、公务普通护照、因私护照，可以正常进行存证、取证、翻页采集、盘点等操作</t>
  </si>
  <si>
    <t>单本进/出证口，能兼容不同厚度的中国护照、带指示灯(#16667)</t>
  </si>
  <si>
    <t>单本进/出证口，带指示灯</t>
  </si>
  <si>
    <t>1. 检查单本口存证、取证时，是否有指示灯指引
2. 无操作或存证、取证完成后，检查指示灯是否熄灭</t>
  </si>
  <si>
    <t>1. 有指示灯进行明确指引，通过单本口存证、取证时指示灯亮
2. 无操作或存证、取证完成后，指示灯熄灭</t>
  </si>
  <si>
    <t>单本进/出证口，能兼容不同厚度的中国护照</t>
  </si>
  <si>
    <t>准备不同厚度的中国护照（外交/公务/公务普通/因私）</t>
  </si>
  <si>
    <t>1. 使用不同厚度的中国护照本，从单本口进行存证、取证操作，检查单本口是否能兼容不同厚度的中国护照</t>
  </si>
  <si>
    <t>1. 单本进/出证口，能兼容不同厚度的中国护照</t>
  </si>
  <si>
    <t>文采模块支持自动翻页采集(#16668)</t>
  </si>
  <si>
    <t>下发护照采集任务</t>
  </si>
  <si>
    <t>1. 检查文采模块是否支持自动翻页采集</t>
  </si>
  <si>
    <t>1. 文采模块支持自动翻页采集，翻页过程无需人工干预</t>
  </si>
  <si>
    <t>批量取证：连续取证20本*40次不出现问题(#16671)</t>
  </si>
  <si>
    <t>连续取证20本*40次不出现问题</t>
  </si>
  <si>
    <t>1. 进行连续取证20本*40次</t>
  </si>
  <si>
    <t>1. 取证正常，连续取证20本*40次不出现问题</t>
  </si>
  <si>
    <t>连续取本：批量取证 20本，15+次没有遇到异常1. 连续取本：批量取证 20本，15+次没有遇到异常</t>
  </si>
  <si>
    <t>批量存证，连续存证35本*40次不出现问题(#15520)</t>
  </si>
  <si>
    <t>连续存证35本*40次不出现问题</t>
  </si>
  <si>
    <t>1. 打开设备门，进行批量存证，连续存证35本*40次</t>
  </si>
  <si>
    <t>1. 存本正常，连续存证35本*40次不出现问题</t>
  </si>
  <si>
    <t>1.因公护照批量存证中途出现批量箱无证的异常
2.存证中途出现证件页面错位的异常1. 1.因公护照批量存证中途出现批量箱无证的异常
2.存证中途出现证件页面错位的异常</t>
  </si>
  <si>
    <t>关闭动力电源，自助存证</t>
  </si>
  <si>
    <t>上层软件在管理员界面，可以正常存取证。</t>
  </si>
  <si>
    <t>1. 关闭动力电，点击自助存证</t>
  </si>
  <si>
    <t>1. 提示正确的故障信息。</t>
  </si>
  <si>
    <t>提示正确的故障信息。1. 提示正确的故障信息。</t>
  </si>
  <si>
    <t>【伤本检测】将本塞出发本箱的一半位置，再批量存证</t>
  </si>
  <si>
    <t>1. 手动将发本箱本推出一半，下发批量存证证任务
2. 报错未处理，多次重试
3. 报错后解决故障，等待复位</t>
  </si>
  <si>
    <t>1. 不伤本且有正确报错
2. 仍报错
3. 复位成功</t>
  </si>
  <si>
    <t>【伤本检测】将本塞出发本箱的一半位置，再自助取证</t>
  </si>
  <si>
    <t>手动将发本箱本推出一半，模拟发本带本出来的情况</t>
  </si>
  <si>
    <t>1. 手动将发本箱本推出一半，下发自助取证任务
2. 报错未处理，多次重试
3. 报错后解决故障，等待复位</t>
  </si>
  <si>
    <t xml:space="preserve">【伤本检测】将本塞出发本箱的一半位置，再自助存证 </t>
  </si>
  <si>
    <t>1. 手动将发本箱本推出一半，下发自助存证任务
2. 报错未处理，多次重试
3. 报错后解决故障，等待复位</t>
  </si>
  <si>
    <t>新本/旧本护照、不同厚度的中国护照、带签证印章护照，可以正常翻页采集</t>
  </si>
  <si>
    <t>准备新本/旧本护照、不同厚度的中国护照（外交/公务/公务普通/因私）、带签证印章护照</t>
  </si>
  <si>
    <t>1. 使用带签证和印章的护照进行翻页采集
2. 使用新本/旧本护照进行翻页采集
3. 使用不同厚度的中国护照（外交/公务/公务普通/因私）进行翻页采集</t>
  </si>
  <si>
    <t>1. 带签证和印章的护照不影响翻页，设备能正常翻页采集整本护照信息
2. 护照的新旧程度不影响翻页，设备能正常翻页采集整本护照信息
3. 不同厚度的中国护照（外交/公务/公务普通/因私）不影响翻页，设备能正常翻页采集整本护照信息</t>
  </si>
  <si>
    <t>7891k和7892D底层通用，只需改配置和参数(#16046)</t>
  </si>
  <si>
    <t>1.程序烧录成功后进行配置</t>
  </si>
  <si>
    <t>1. 打开维护软件，哪一台设备name就改成相对应的型号，ClientWsDLL.ini name=7891K/7892D
2. 打开通用维护软件-[翻转模块]设置翻转模式使能参数，17891k设置为：0，7892D，设置为：1
3. 打开通用维护软件-[机械手使能]设置机械手左本参数，17891k设置为：1，7892D，设置为：0</t>
  </si>
  <si>
    <t>1. 修改成功
2. 设置成功
3. 设置成功，正常运行</t>
  </si>
  <si>
    <t>UPS选配(#15487)</t>
  </si>
  <si>
    <t>断开设备的电源后，UPS供电自动关闭设备电脑和工控机</t>
  </si>
  <si>
    <t>1. 设备开机状态下断开设备的电源</t>
  </si>
  <si>
    <t>1. UPS开始供电，完成当前业务后，先触发工控机关闭后再整机断电，有断电提示</t>
  </si>
  <si>
    <t>UPS开始供电，完成当前业务后，先触发工控机关闭后再整机断电，有断电提示1. UPS开始供电，完成当前业务后，先触发工控机关闭后再整机断电，有断电提示</t>
  </si>
  <si>
    <t>盘点时间＜6.4小时(#15477)</t>
  </si>
  <si>
    <t>1. 打开上层软件，通宵盘点</t>
  </si>
  <si>
    <t>1. 盘点时间＜6.4小时</t>
  </si>
  <si>
    <t>清点时间＜1分钟(#15476)</t>
  </si>
  <si>
    <t>清点时间&lt;1分钟</t>
  </si>
  <si>
    <t>1. 管理员模式，进行清点计时</t>
  </si>
  <si>
    <t>1. 清点时间&lt;1分钟</t>
  </si>
  <si>
    <t>算力主控RK3588（同文采仪）(#15481)</t>
  </si>
  <si>
    <t>算力主控RK3588,同文采仪</t>
  </si>
  <si>
    <t>1. 1.查看规格书</t>
  </si>
  <si>
    <t>1. 算力主控RK3588,同文采仪</t>
  </si>
  <si>
    <t>温度探测器当有高温时自动断电并发出警报(#15489)</t>
  </si>
  <si>
    <t>温度探测器</t>
  </si>
  <si>
    <t>1. 使用打火机制造高温环境，检查温度报警器是否报警并自动断电</t>
  </si>
  <si>
    <t>1. 有温度探测器，有高温时自动断电报警</t>
  </si>
  <si>
    <t>有温度探测器，有高温时自动断电报警1.</t>
  </si>
  <si>
    <t>新本/旧本护照、不同厚度的中国护照（外交/公务/公务普通/因私）混在一起，可以正常发本(#15462)</t>
  </si>
  <si>
    <t>发本箱兼容各种护照本</t>
  </si>
  <si>
    <t>1. 发本箱里面混合放新本/旧本护照、不同厚度的中国护照（外交/公务/公务普通/因私）</t>
  </si>
  <si>
    <t>1. 各种本混在一起可以正常发本</t>
  </si>
  <si>
    <t>各种本混在一起可以正常发本1.</t>
  </si>
  <si>
    <t>收本箱，收本整齐(#15463)</t>
  </si>
  <si>
    <t>1. 连续收本到批量取本箱10次，满箱</t>
  </si>
  <si>
    <t>1. 收本箱，收本整齐</t>
  </si>
  <si>
    <t>升降电梯模块具有送本衔接模块(#15466)</t>
  </si>
  <si>
    <t>升降电梯模块具有送本街接模块</t>
  </si>
  <si>
    <t>1. 下发采集任务</t>
  </si>
  <si>
    <t>1. 升降电梯模块具有送本街接模块，送本时衔接成功</t>
  </si>
  <si>
    <t>断电保护，停电后，设备可持续运行10分钟以上(#15478)</t>
  </si>
  <si>
    <t>UPS供电时间大于十分钟</t>
  </si>
  <si>
    <t>设备已接入UPS并完成相应配置</t>
  </si>
  <si>
    <t>1. 对设备进行断电，检查UPS是否启用，并记录UPS供电时长</t>
  </si>
  <si>
    <t>1. 设备断电后，ups启用，供电时间大于十分钟</t>
  </si>
  <si>
    <t>电压220±5%V AC  50Hz(#15493)</t>
  </si>
  <si>
    <t>接地电阻测试</t>
  </si>
  <si>
    <t>1. 将待测样品的电源插头的接地引脚用接地电阻测试仪的红色正极夹子夹住。（若待测样品没有插头，则将红色夹子夹在输入线地线端上）；
用接地电阻测试仪的黑色负极夹子夹在待测设备的金属外壳或者螺丝上（负极接的地方是设备上离电源线最远端，尽量是金属把手上）。如待测设备表面有油漆，用角磨机将表面的油漆打磨掉，露出金属部分后在夹上黑色夹子；
打开接地电阻测试仪，按接地电阻测试规范,设置测试电流为32A，测试时间为65秒，报警电阻值为100mΩ，进行测试，等待测试时间结束。</t>
  </si>
  <si>
    <t>1. 接地电阻测试仪的红色正极夹子夹住待测设备电源插头的接地引脚
接地电阻测试仪的黑色负极夹子夹住待测设备电源插头的金属外壳或者螺丝上
接地电阻测试仪不报警，接地电阻＜100mΩ，待测设备的地线不出现冒烟现象（注意：自助类设备测试时，需扣除电源线自身电阻，生产类设备保持不变）</t>
  </si>
  <si>
    <t>本轮并没有修改硬件，上一个版本测试通过1. 本轮并没有修改硬件，上一个版本测试通过</t>
  </si>
  <si>
    <t>抗电强度试验</t>
  </si>
  <si>
    <t>1. 将待测设备的电源插头的L/N端用锡丝缠绕紧，再用耐电压测试仪的正极夹子夹住；（若待测样品没有插头，将输入的零火线连接起来，用耐压强度测试仪的正极夹子夹住。）
负极夹子可直接夹在金属壳或者与金属壳连接的螺丝上；
打开抗电强度测试仪，设置测试电压为1500V测试，时间设置为65s，按抗电强度测试规范进行测试。等待测试时间结束。</t>
  </si>
  <si>
    <t>1. 耐电压测试仪的正极夹子夹在与待测设备的电源插头的L/N端缠绕紧的锡丝上
负极夹子夹在金属壳或者与金属壳连接的螺丝上
耐电压测试仪不报警，设备的漏电流＜15mA，待测设备上不出现飞弧和爆破现象</t>
  </si>
  <si>
    <t>漏电流测试</t>
  </si>
  <si>
    <t>1. 先将漏电流测试仪输入端插头插到调压器排插上，再将调压器接上电源，将调压器的电压调至220V。
将待测设备的电源插头插到漏电流测试仪的输出插座上，再打开待测设备，正常运行。
打开漏电流测试仪电源开关，设置报警电流为3.5mA，测试时间为60s，按泄漏电流测试规范进行测试，等待测试结束，或者仪器报警。</t>
  </si>
  <si>
    <t>1. 调压器能输出稳定的220V电压
待测设备能正常运行
泄漏电流测试仪不报警，设备的漏电流＜3.5mA（1、3.5mA≤泄漏电流＜8mA，缺陷等级为C级；2、8mA≤泄漏电流＜10mA，接地良好的设备缺陷等级为B级,无接地或接地不良的定义为A级；3、泄漏电流≥10mA，缺陷等级为A级。）</t>
  </si>
  <si>
    <t> 绝缘电阻测试</t>
  </si>
  <si>
    <t>1. 将待测设备的电源插头的L/N端用锡丝缠绕紧，再用绝缘电阻测试仪的电压输出端子夹住。（若待测设备没有插头，将输入的L/N端连接起来，再用绝缘电阻度测试仪的电压输出端子夹住。）
将待测设备的插头接地引脚与绝缘电阻测试仪的测量端子相连接。
打开绝缘电阻测试仪的电源开关，设置测试电压为0.500KV，电阻单位为MΩ，电阻上限为1000MΩ，电阻下限为2MΩ，设置报警电阻为2MΩ，测试时间为60s，间隔时间为0s，报警延时时间为0s，按绝缘电阻测试规范进行测试，等待测试结束，或者设备报警。</t>
  </si>
  <si>
    <t>1. 绝缘电阻测试仪的正极红色夹子夹在与待测设备的电源插头的L/N端缠绕紧的锡丝上
负极黑色夹子夹在待测设备的插头接地引脚上
绝缘电阻测试仪不报警，设备的绝缘电阻＞2MΩ（一般绝缘电阻大于100MΩ为正常）</t>
  </si>
  <si>
    <t>功率测算</t>
  </si>
  <si>
    <t>1. 使用功率计进行测算，实测设备在220V输入时候，设备峰值功率及设备待机功率</t>
  </si>
  <si>
    <t>1. 实际测量或符合规格书要求</t>
  </si>
  <si>
    <t>不危及操作人员安全方面的基本要求，具有安全标识(#15460)</t>
  </si>
  <si>
    <t>具有安全标识</t>
  </si>
  <si>
    <t>1. 检查设备是否粘贴有安全标识</t>
  </si>
  <si>
    <t>1. 不危及操作人员安全方面的基本要求，具有安全标识</t>
  </si>
  <si>
    <t>开关，接口：工控机复位开关1个，电源开关1个，电源接口1个，网口1个(#15490)</t>
  </si>
  <si>
    <t>1. 工控机复位开关
2. 电源开关
3. 网口
4. 电源接口</t>
  </si>
  <si>
    <t>1. 工控机复位开关1个
2. 电源开关1个
3. 网口1个
4. 电源接口1个</t>
  </si>
  <si>
    <t>/外设及其他功能/喇叭(#15630)</t>
  </si>
  <si>
    <t>喇叭，播放无破音</t>
  </si>
  <si>
    <t>1.提前准备好一段音频</t>
  </si>
  <si>
    <t>1. 将喇叭音量调整至10%
2. 将喇叭音量调整至50%
3. 将喇叭音量调整至100%</t>
  </si>
  <si>
    <t>1. 播放声音清晰无破音
2. 播放声音清晰无破音
3. 播放声音清晰无破音</t>
  </si>
  <si>
    <t>烟雾报警器有烟雾时自动断电并发出警报，断电(#15488)</t>
  </si>
  <si>
    <t>烟雾报警器</t>
  </si>
  <si>
    <t>1. 用少量烟雾放到烟雾报警器旁边</t>
  </si>
  <si>
    <t>1. 报警器感应到烟雾后自动报警，设备断电</t>
  </si>
  <si>
    <t>报警器感应到烟雾后自动报警，设备断电1. 报警器感应到烟雾后自动报警，设备断电</t>
  </si>
  <si>
    <t>UPS上电自启动</t>
  </si>
  <si>
    <t>1. 设备断电后，将ups的电耗尽
2. 耗尽后ups无法供电，再接上外接电源</t>
  </si>
  <si>
    <t>1. 耗尽完成
2. ups上电后给整机供电，工控机自启</t>
  </si>
  <si>
    <t>1. 
2. ups上电后给整机供电，工控机自启</t>
  </si>
  <si>
    <t>工控主机系统规格(#15480)</t>
  </si>
  <si>
    <t>工控机_规格检查</t>
  </si>
  <si>
    <t>1. 查看工控机规格书</t>
  </si>
  <si>
    <t>1. 1.CPU:兆芯KX-U6780A
2.内存:8G
3.硬盘:1T SSD
4.系统：银河麒麟桌面操作系统V10</t>
  </si>
  <si>
    <t>双目摄像头_规格(#15483)</t>
  </si>
  <si>
    <t>双目摄像头像素，保存路径/opt/Emperor/bin/证件保管柜/programdata/PhotoImage</t>
  </si>
  <si>
    <t>1. 拍照完成后查看像素
2. 双目摄像头保存路径</t>
  </si>
  <si>
    <t>1. 彩色300W像素，黑白130W像素
2. /opt/Emperor/bin/证件保管柜/programdata/PhotoImage/年/月/日</t>
  </si>
  <si>
    <t>1. 
2. 未在此路径找到对应日期的拍照图片</t>
  </si>
  <si>
    <t>触摸屏_屏幕质量</t>
  </si>
  <si>
    <t>1. 连续切换画面或者播放视频1分钟
2. 运行屏幕检测软件检查触摸屏有无黑点和亮点
3. 屏幕输入框快速输入1-10数字
4. 手指触摸屏幕，查看触摸状态</t>
  </si>
  <si>
    <t>1. 画面切换或者视频播放流畅，无卡顿，显示正常，无花屏，无闪烁
2. 屏幕上无黑点和亮点
3. 屏幕无“跳点”、“漏点”现象发生
4. 手指触摸后屏幕立即有所响应</t>
  </si>
  <si>
    <t>身份证阅读器，读取证件可靠性验证，60次</t>
  </si>
  <si>
    <t>1. 身份证连续读取60次
2. 检查读取结果</t>
  </si>
  <si>
    <t>1. 身份证阅读成功
2. 读取结果正确</t>
  </si>
  <si>
    <t xml:space="preserve"> 指纹仪压测50次，成功率100%</t>
  </si>
  <si>
    <t>1.指纹仪录入成功</t>
  </si>
  <si>
    <t>1. 使用注册指纹登陆成功后再退出,反复50次</t>
  </si>
  <si>
    <t>1. 指纹仪压测50次，成功率100%</t>
  </si>
  <si>
    <t>条码枪扫描一维码，二维码，50次</t>
  </si>
  <si>
    <t>1. 使用条码枪扫描一维码50次
2. 使用条码枪扫描二维码50次</t>
  </si>
  <si>
    <t>1. 条码枪扫描一维码成功率100%
2. 条码枪扫描二维码成功率100%</t>
  </si>
  <si>
    <t>外设部件指示灯</t>
  </si>
  <si>
    <t>1. 随着提示需要各外设部部件进行操作时
2. 检测光源效果</t>
  </si>
  <si>
    <t>1. 对应部件的指示灯应闪烁亮起
2. 灯光柔和不刺眼，灯光均匀</t>
  </si>
  <si>
    <t>/外设及其他功能/按键(#15650)</t>
  </si>
  <si>
    <t>控制面板按钮（9个）</t>
  </si>
  <si>
    <t xml:space="preserve">检测设备内部外部按钮，是否可用
</t>
  </si>
  <si>
    <t>1. 按下左侧上下侧转盘点动按钮
2. 按下右上下侧转盘点动按钮
3. 按下横移小车点动按钮
4. 按下左侧机械手点动按钮
5. 按下右侧机械手点动按钮
6. 按下发本箱点动按钮
7. 按下动力电源按钮
8. 按下照明电源按钮
9. 按下电源总开关</t>
  </si>
  <si>
    <t>1. 左边上下转盘开始转动，亮绿灯
2. 右边上下转盘开始转动，亮绿灯
3. 横移小车开始移动到起始位，亮绿灯
4. 左侧机械手开始上下移动，亮绿灯
5. 右侧机械手开始上下移动，亮绿灯
6. 发本箱压块上升或下降，亮绿灯
7. 动力电源给设备内部机芯上电
8. 照明电源给设备灯上电
9. 电源总开关给设备上电，亮绿灯，关闭时设备断电，不亮灯</t>
  </si>
  <si>
    <t>1. 
2. 
3. 
4. 
5. 
6. 
7. 
8. 
9.</t>
  </si>
  <si>
    <t>1. 打开STM32BootTool_debug.exe烧写工具；选择对应的串口，对设备的控制板进行程序下载
2. 打开ProgramUpdate(V1.16.0108.1).exe烧写工具；选择对应的串口、“Board Type”选择“220R2/226R4+227R4”、点击open导入烧写文件、 最后点击“COM-DNLOAD”按钮，对USB通断、灯控板进行程序下载</t>
  </si>
  <si>
    <t>1. 主板、其余小板、USB通断板、灯控板烧写程序成功
2. 打开维护软件可以对设备进行控制</t>
  </si>
  <si>
    <t>故障信息</t>
  </si>
  <si>
    <t>1. 错误代码读取</t>
  </si>
  <si>
    <t>1. 故障有对应的错误代码</t>
  </si>
  <si>
    <t>1. 进入管理员界面，点击系统退出</t>
  </si>
  <si>
    <t>获取控制板参数</t>
  </si>
  <si>
    <t>1. 点击“获取控制板参数”</t>
  </si>
  <si>
    <t>1. 获取控制板参数功能正常</t>
  </si>
  <si>
    <t>LED灯控制亮度和时间</t>
  </si>
  <si>
    <t>1. 选择灯，选择LED点亮，点击LED灯控制
2. 选择灯，选择LED熄灭，点击LED灯控制
3. 选择灯，选择LED闪烁，点击LED灯控制</t>
  </si>
  <si>
    <t>1. 对应的LED灯点亮
2. 对应的LED灯熄灭
3. 对应的LED灯闪烁</t>
  </si>
  <si>
    <t>/其他需求/电气要求(#15649)</t>
  </si>
  <si>
    <t>设备上电,下电，功能正常</t>
  </si>
  <si>
    <t>1. 给设备的总电源线插入插座，并打开UPS
2. 打开设备总电源开关
3. 关闭设备电源开关</t>
  </si>
  <si>
    <t>1. 打开设备的电源开关，设备各个模块和工控机正常上电，显示屏自动开启
2. 打开灯的电源开关，设备中的灯亮
3. 关闭电源开关，设备中各个模块均正常下电</t>
  </si>
  <si>
    <t>设备无UPS1. 设备无UPS
2. 
3.</t>
  </si>
  <si>
    <t>设备出现故障，要有明确提示，引导用户快速处理故障(#15458)</t>
  </si>
  <si>
    <t>设备出现故障，有明确提示，引导用户快速处理故障</t>
  </si>
  <si>
    <t>进行各种异常操作，使得设备出现故障</t>
  </si>
  <si>
    <t>1. 设备出现故障后，检查软件是否有明确提示，提示是否能引导用户快速处理故障；
2. 检查错误故障代码是否有分类；</t>
  </si>
  <si>
    <t>1. 设备出现故障，有明确提示，引导用户快速处理故障；
2. 错误故障代码要进行分类：
1、明确哪些是执行复位操作即可恢复；
2、明确哪些是要禁用模块，再进行复位；
3、哪些是需要管理员人工介入确认，手动处理完故障再恢复的。</t>
  </si>
  <si>
    <t>使用正常的真本测试，连续测试400本（48页，翻25次，累计10000次）护照，成功率99.9%(#15457)</t>
  </si>
  <si>
    <t>整本护照采集翻页成功率（&gt;=99.9%）</t>
  </si>
  <si>
    <t>1.文采模块配置开启
2.准备护照真本
3.打开上层软件</t>
  </si>
  <si>
    <t>1. 将护照真本放入文采采集模块中进行整本翻页采集,采集完成后查看结果图像</t>
  </si>
  <si>
    <t>1. 累计测试400本（48页，翻25次，累计10000次）护照，成功率99.9%（最多允许翻多页出现10次（同一本护照，同一页累计出现3次及以上翻多页的，要排除掉））</t>
  </si>
  <si>
    <t>整本采集过程中,不出现翻多页情况1.</t>
  </si>
  <si>
    <t>参考对比提供的样图，无明显差异(#15518)</t>
  </si>
  <si>
    <t>采集的图像清晰、页面光照均匀、无畸变、无反光等</t>
  </si>
  <si>
    <t>1.证件采集完成</t>
  </si>
  <si>
    <t>1. 在后台查看图像质量</t>
  </si>
  <si>
    <t>1. 参考对比提供的样图，无明显差异</t>
  </si>
  <si>
    <t>肉眼可见采集图像清晰、页面光照均匀、无反光1.</t>
  </si>
  <si>
    <t>批量翻页，连续真本测试翻页采集2000次，无异常(#15521)</t>
  </si>
  <si>
    <t>批量翻页采集,2000次，无故障</t>
  </si>
  <si>
    <t>1. 将护照本放入采集模块</t>
  </si>
  <si>
    <t>1. 翻页采集2000次无故障</t>
  </si>
  <si>
    <t>60本因公护照+309本的蓝皮护照样本，异常报错：文采模块故障![19906020]出本时，到达出本传感器超时1. 60本因公护照+309本的蓝皮护照样本，异常报错：文采模块故障![19906020]出本时，到达出本传感器超时</t>
  </si>
  <si>
    <t>设备尺寸以实际为准(#15492)</t>
  </si>
  <si>
    <t>1. 使用量尺测量设备尺寸</t>
  </si>
  <si>
    <t>1. 设备尺寸,实际为准</t>
  </si>
  <si>
    <t>设备重量以实际为准(#15491)</t>
  </si>
  <si>
    <t>设备重量,实际为准</t>
  </si>
  <si>
    <t>1. 将设备放在重量称上测量</t>
  </si>
  <si>
    <t>1. 设备重量,实际为准</t>
  </si>
  <si>
    <t>噪音65DBA(#15494)</t>
  </si>
  <si>
    <t>噪音dB≤65Db</t>
  </si>
  <si>
    <t>1. 距地面1m 高、距设备1m 远处的噪音dB≤65Db。</t>
  </si>
  <si>
    <t>1. 噪音dB≤65Db。</t>
  </si>
  <si>
    <t>正常运行（存取采集）dB有存证70Db的情况1. 正常运行（存取采集）dB有存证70Db的情况</t>
  </si>
  <si>
    <t>批量取本速度（不含翻页）＜11秒/本(#15474)</t>
  </si>
  <si>
    <t>批量取本速度（不含翻页，＜11秒/本）</t>
  </si>
  <si>
    <t>1. 取入10本开始计时，存本完成后结束计时</t>
  </si>
  <si>
    <t>1. 批量取本速度（不含翻页，＜11秒/本）</t>
  </si>
  <si>
    <t>平均26秒，需求要求11秒/本1. 平均26秒，需求要求11秒/本</t>
  </si>
  <si>
    <t>批量存本速度（不含翻页）＜13秒/本(#15473)</t>
  </si>
  <si>
    <t>批量存本速度（不含翻页，＜13秒/本）</t>
  </si>
  <si>
    <t>1. 取10本开始计时，存本完成后结束计时</t>
  </si>
  <si>
    <t>1. 批量存本速度（不含翻页，＜13秒/本）</t>
  </si>
  <si>
    <t>平均速度：20.6秒，需求13/本1. 平均速度：20.6秒，需求13/本</t>
  </si>
  <si>
    <t>单本取本速度（不含翻页）＜12秒/本(#15472)</t>
  </si>
  <si>
    <t>单本取本速度（不含翻页，＜12秒/本）</t>
  </si>
  <si>
    <t>1. 放入本开始计时，存本完成后结束计时</t>
  </si>
  <si>
    <t>1. 单本取本速度（不含翻页，＜12秒/本）</t>
  </si>
  <si>
    <t>单本存证：22秒   需求15秒/本1. 单本存证：22秒   需求15秒/本</t>
  </si>
  <si>
    <t>单本存本速度（不含翻页）＜15秒/本(#15471)</t>
  </si>
  <si>
    <t>单本存本速度（不含翻页，＜15秒/本）</t>
  </si>
  <si>
    <t>1. 单本存本速度不含翻页，＜15秒/本</t>
  </si>
  <si>
    <t>单本取证速度：23/张，需求要求：11秒/本1. 单本取证速度：23/张，需求要求：11秒/本</t>
  </si>
  <si>
    <t>本库存放保管护照证件，整机容量1600本(#15468)</t>
  </si>
  <si>
    <t>整机容量，1600本</t>
  </si>
  <si>
    <t>1. 查看整机容量</t>
  </si>
  <si>
    <t>1. 整机容量1600本</t>
  </si>
  <si>
    <t>批量废本箱容量5本(#15470)</t>
  </si>
  <si>
    <t>批量废本箱容量，5本</t>
  </si>
  <si>
    <t>1. 测试废本箱容量</t>
  </si>
  <si>
    <t>1. 批量废本箱容量5本</t>
  </si>
  <si>
    <t>没有批量废本箱1. 没有批量废本箱</t>
  </si>
  <si>
    <t>批量发本箱容量35本(#15469)</t>
  </si>
  <si>
    <t>批量发本箱容量，35本</t>
  </si>
  <si>
    <t>1. 测试发本箱容量</t>
  </si>
  <si>
    <t>1. 发本箱容量35本</t>
  </si>
  <si>
    <t>护照上限存放66本1. 护照上限存放66本</t>
  </si>
  <si>
    <t>本库取本翻页速度（含识别）＜4分钟/本(#15475)</t>
  </si>
  <si>
    <t>1）将正常的48页的中国护照存入本库中
2）采集常光、红外光图片</t>
  </si>
  <si>
    <t>1. 从本库里取一本48页的中国护照，送到文采模块进行整本翻页采集，采集常光和红外光图片；从取本开始计时，直到翻页完成并识别完成时结束计时，记录单次用时；
2. 重复步骤一10次，统计平均用时；</t>
  </si>
  <si>
    <t>1. 完成记录；
2. 本库取本翻页速度（含识别）＜4分钟/本。</t>
  </si>
  <si>
    <t>读写器成功率≥99.7%(#15479)</t>
  </si>
  <si>
    <t>读写器_护照芯片读写成功率≥99.7%</t>
  </si>
  <si>
    <t>1.准备带芯片的外交护照，公务护照，公务普通护照，因私护照</t>
  </si>
  <si>
    <t>1. 读取外交护照100次，检查每次读取是否成功
2. 读取公务护照100次，检查每次读取是否成功
3. 读取公务普通护照100次，检查每次读取是否成功
4. 读取因私护照100次，检查每次读取是否成功</t>
  </si>
  <si>
    <t>1. 读写器连续采集100次，失败率不超过0.3%
2. 读写器连续采集100次，失败率不超过0.3%
3. 读写器连续采集100次，失败率不超过0.3%
4. 读写器连续采集100次，失败率不超过0.3%</t>
  </si>
  <si>
    <t>伤本率0%(#15456)</t>
  </si>
  <si>
    <t>翻页_废本率统计</t>
  </si>
  <si>
    <t>准备100本护照。</t>
  </si>
  <si>
    <t>1. 进行整流程跑机测试，统计废本率；</t>
  </si>
  <si>
    <t>1. 废本率为0。</t>
  </si>
  <si>
    <t>废本率为0%1. 废本率为0%</t>
  </si>
  <si>
    <t>翻页_伤本率统计0%</t>
  </si>
  <si>
    <t>1. 进行整流程跑机测试，统计伤本率；</t>
  </si>
  <si>
    <t>1. 伤本率为0（充分考虑，防止证件存取、盘点、清点、翻转、采集等过程中损坏证件
说明：原文采模块硬件导致的问题，不包含在此项目范围）</t>
  </si>
  <si>
    <t>伤本率为0。1.</t>
  </si>
  <si>
    <t>张福松</t>
    <phoneticPr fontId="47" type="noConversion"/>
  </si>
  <si>
    <t>XD-PD23-2509</t>
    <phoneticPr fontId="47" type="noConversion"/>
  </si>
  <si>
    <t>Veridos入境自助登记机</t>
    <phoneticPr fontId="47" type="noConversion"/>
  </si>
  <si>
    <t>EMP2600H</t>
    <phoneticPr fontId="47" type="noConversion"/>
  </si>
  <si>
    <t>入境自助登记机</t>
    <phoneticPr fontId="47" type="noConversion"/>
  </si>
  <si>
    <t>白广海</t>
    <phoneticPr fontId="47" type="noConversion"/>
  </si>
  <si>
    <t>周雪波</t>
    <phoneticPr fontId="47"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</si>
</sst>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76" formatCode="#,##0_ ;[Red]\-#,##0\ "/>
    <numFmt numFmtId="177" formatCode="0.000"/>
    <numFmt numFmtId="178" formatCode="0.0000000"/>
    <numFmt numFmtId="179" formatCode="0.00_);[Red]\(0.00\)"/>
    <numFmt numFmtId="180" formatCode="[$-F400]h:mm:ss\ AM/PM"/>
  </numFmts>
  <fonts count="51">
    <font>
      <sz val="11"/>
      <color theme="1"/>
      <name val="宋体"/>
      <charset val="134"/>
      <scheme val="minor"/>
    </font>
    <font>
      <sz val="9"/>
      <color indexed="8"/>
      <name val="微软雅黑"/>
      <family val="2"/>
      <charset val="134"/>
    </font>
    <font>
      <sz val="12"/>
      <color indexed="8"/>
      <name val="微软雅黑"/>
      <family val="2"/>
      <charset val="134"/>
    </font>
    <font>
      <sz val="16"/>
      <color indexed="8"/>
      <name val="黑体"/>
      <family val="3"/>
      <charset val="134"/>
    </font>
    <font>
      <sz val="11"/>
      <color indexed="8"/>
      <name val="宋体"/>
      <family val="3"/>
      <charset val="134"/>
    </font>
    <font>
      <b/>
      <sz val="14"/>
      <color indexed="8"/>
      <name val="微软雅黑"/>
      <family val="2"/>
      <charset val="134"/>
    </font>
    <font>
      <b/>
      <sz val="12"/>
      <color theme="0"/>
      <name val="微软雅黑"/>
      <family val="2"/>
      <charset val="134"/>
    </font>
    <font>
      <sz val="11"/>
      <color indexed="8"/>
      <name val="微软雅黑 Light"/>
      <family val="2"/>
      <charset val="134"/>
    </font>
    <font>
      <sz val="10"/>
      <color indexed="8"/>
      <name val="微软雅黑 Light"/>
      <family val="2"/>
      <charset val="134"/>
    </font>
    <font>
      <sz val="9"/>
      <name val="微软雅黑"/>
      <family val="2"/>
      <charset val="134"/>
    </font>
    <font>
      <b/>
      <sz val="9"/>
      <name val="微软雅黑"/>
      <family val="2"/>
      <charset val="134"/>
    </font>
    <font>
      <b/>
      <sz val="12"/>
      <color indexed="9"/>
      <name val="微软雅黑"/>
      <family val="2"/>
      <charset val="134"/>
    </font>
    <font>
      <b/>
      <sz val="9"/>
      <color indexed="20"/>
      <name val="微软雅黑"/>
      <family val="2"/>
      <charset val="134"/>
    </font>
    <font>
      <b/>
      <sz val="10"/>
      <name val="微软雅黑"/>
      <family val="2"/>
      <charset val="134"/>
    </font>
    <font>
      <sz val="10"/>
      <color indexed="8"/>
      <name val="微软雅黑"/>
      <family val="2"/>
      <charset val="134"/>
    </font>
    <font>
      <b/>
      <sz val="14"/>
      <name val="微软雅黑"/>
      <family val="2"/>
      <charset val="134"/>
    </font>
    <font>
      <u/>
      <sz val="9"/>
      <name val="微软雅黑"/>
      <family val="2"/>
      <charset val="134"/>
    </font>
    <font>
      <b/>
      <u/>
      <sz val="9"/>
      <name val="微软雅黑"/>
      <family val="2"/>
      <charset val="134"/>
    </font>
    <font>
      <b/>
      <sz val="11"/>
      <color theme="1"/>
      <name val="宋体"/>
      <family val="3"/>
      <charset val="134"/>
      <scheme val="minor"/>
    </font>
    <font>
      <sz val="9"/>
      <color indexed="8"/>
      <name val="Calibri"/>
      <family val="2"/>
    </font>
    <font>
      <sz val="11"/>
      <color theme="1"/>
      <name val="微软雅黑"/>
      <family val="2"/>
      <charset val="134"/>
    </font>
    <font>
      <b/>
      <sz val="11"/>
      <color theme="1"/>
      <name val="微软雅黑"/>
      <family val="2"/>
      <charset val="134"/>
    </font>
    <font>
      <sz val="10"/>
      <color theme="1"/>
      <name val="微软雅黑"/>
      <family val="2"/>
      <charset val="134"/>
    </font>
    <font>
      <sz val="14"/>
      <color indexed="8"/>
      <name val="微软雅黑"/>
      <family val="2"/>
      <charset val="134"/>
    </font>
    <font>
      <b/>
      <sz val="11"/>
      <color indexed="8"/>
      <name val="微软雅黑"/>
      <family val="2"/>
      <charset val="134"/>
    </font>
    <font>
      <sz val="11"/>
      <color indexed="8"/>
      <name val="微软雅黑"/>
      <family val="2"/>
      <charset val="134"/>
    </font>
    <font>
      <b/>
      <sz val="20"/>
      <color indexed="8"/>
      <name val="微软雅黑"/>
      <family val="2"/>
      <charset val="134"/>
    </font>
    <font>
      <b/>
      <sz val="12"/>
      <color indexed="8"/>
      <name val="微软雅黑"/>
      <family val="2"/>
      <charset val="134"/>
    </font>
    <font>
      <b/>
      <sz val="12"/>
      <color theme="1"/>
      <name val="微软雅黑"/>
      <family val="2"/>
      <charset val="134"/>
    </font>
    <font>
      <b/>
      <sz val="14"/>
      <color theme="1"/>
      <name val="微软雅黑"/>
      <family val="2"/>
      <charset val="134"/>
    </font>
    <font>
      <sz val="11"/>
      <color rgb="FFFF0000"/>
      <name val="微软雅黑"/>
      <family val="2"/>
      <charset val="134"/>
    </font>
    <font>
      <sz val="9"/>
      <color rgb="FFFF0000"/>
      <name val="微软雅黑"/>
      <family val="2"/>
      <charset val="134"/>
    </font>
    <font>
      <b/>
      <sz val="12"/>
      <name val="微软雅黑"/>
      <family val="2"/>
      <charset val="134"/>
    </font>
    <font>
      <sz val="10"/>
      <name val="微软雅黑"/>
      <family val="2"/>
      <charset val="134"/>
    </font>
    <font>
      <sz val="11"/>
      <name val="微软雅黑"/>
      <family val="2"/>
      <charset val="134"/>
    </font>
    <font>
      <b/>
      <sz val="10"/>
      <color indexed="8"/>
      <name val="微软雅黑"/>
      <family val="2"/>
      <charset val="134"/>
    </font>
    <font>
      <sz val="10"/>
      <color rgb="FF000000"/>
      <name val="微软雅黑"/>
      <family val="2"/>
      <charset val="134"/>
    </font>
    <font>
      <sz val="12"/>
      <name val="微软雅黑"/>
      <family val="2"/>
      <charset val="134"/>
    </font>
    <font>
      <sz val="11"/>
      <color theme="1"/>
      <name val="宋体"/>
      <family val="3"/>
      <charset val="134"/>
      <scheme val="minor"/>
    </font>
    <font>
      <sz val="10"/>
      <name val="Arial"/>
      <family val="2"/>
    </font>
    <font>
      <u/>
      <sz val="9.1"/>
      <color indexed="12"/>
      <name val="Geneva"/>
      <family val="1"/>
    </font>
    <font>
      <sz val="12"/>
      <name val="宋体"/>
      <family val="3"/>
      <charset val="134"/>
    </font>
    <font>
      <sz val="11"/>
      <color theme="0"/>
      <name val="宋体"/>
      <family val="3"/>
      <charset val="134"/>
      <scheme val="minor"/>
    </font>
    <font>
      <sz val="9"/>
      <name val="宋体"/>
      <family val="3"/>
      <charset val="134"/>
    </font>
    <font>
      <b/>
      <sz val="11"/>
      <color rgb="FFFA7D00"/>
      <name val="宋体"/>
      <family val="3"/>
      <charset val="134"/>
      <scheme val="minor"/>
    </font>
    <font>
      <sz val="12"/>
      <name val="Comic Sans MS"/>
      <family val="4"/>
    </font>
    <font>
      <b/>
      <sz val="10"/>
      <color rgb="FF0000FF"/>
      <name val="微软雅黑"/>
      <family val="2"/>
      <charset val="134"/>
    </font>
    <font>
      <sz val="9"/>
      <name val="宋体"/>
      <family val="3"/>
      <charset val="134"/>
      <scheme val="minor"/>
    </font>
    <font>
      <b/>
      <sz val="12"/>
      <color indexed="8"/>
      <name val="黑体"/>
      <family val="3"/>
      <charset val="134"/>
    </font>
    <font>
      <b/>
      <sz val="12"/>
      <name val="黑体"/>
      <family val="3"/>
      <charset val="134"/>
    </font>
    <font>
      <b/>
      <sz val="10"/>
      <color theme="1"/>
      <name val="微软雅黑"/>
      <family val="2"/>
      <charset val="134"/>
    </font>
  </fonts>
  <fills count="22">
    <fill>
      <patternFill patternType="none"/>
    </fill>
    <fill>
      <patternFill patternType="gray125"/>
    </fill>
    <fill>
      <patternFill patternType="solid">
        <fgColor theme="8" tint="0.59999389629810485"/>
        <bgColor indexed="64"/>
      </patternFill>
    </fill>
    <fill>
      <patternFill patternType="solid">
        <fgColor theme="3" tint="0.39991454817346722"/>
        <bgColor indexed="64"/>
      </patternFill>
    </fill>
    <fill>
      <patternFill patternType="solid">
        <fgColor indexed="20"/>
        <bgColor indexed="64"/>
      </patternFill>
    </fill>
    <fill>
      <patternFill patternType="solid">
        <fgColor indexed="63"/>
        <bgColor indexed="64"/>
      </patternFill>
    </fill>
    <fill>
      <patternFill patternType="solid">
        <fgColor indexed="13"/>
        <bgColor indexed="64"/>
      </patternFill>
    </fill>
    <fill>
      <patternFill patternType="solid">
        <fgColor indexed="42"/>
        <bgColor indexed="64"/>
      </patternFill>
    </fill>
    <fill>
      <patternFill patternType="solid">
        <fgColor indexed="11"/>
        <bgColor indexed="64"/>
      </patternFill>
    </fill>
    <fill>
      <patternFill patternType="solid">
        <fgColor theme="0" tint="-0.14990691854609822"/>
        <bgColor indexed="64"/>
      </patternFill>
    </fill>
    <fill>
      <patternFill patternType="solid">
        <fgColor indexed="40"/>
        <bgColor indexed="64"/>
      </patternFill>
    </fill>
    <fill>
      <patternFill patternType="solid">
        <fgColor indexed="44"/>
        <bgColor indexed="64"/>
      </patternFill>
    </fill>
    <fill>
      <patternFill patternType="solid">
        <fgColor indexed="22"/>
        <bgColor indexed="64"/>
      </patternFill>
    </fill>
    <fill>
      <patternFill patternType="solid">
        <fgColor theme="4" tint="0.39991454817346722"/>
        <bgColor indexed="64"/>
      </patternFill>
    </fill>
    <fill>
      <patternFill patternType="solid">
        <fgColor rgb="FFFFFF00"/>
        <bgColor indexed="64"/>
      </patternFill>
    </fill>
    <fill>
      <patternFill patternType="solid">
        <fgColor indexed="43"/>
        <bgColor indexed="64"/>
      </patternFill>
    </fill>
    <fill>
      <patternFill patternType="solid">
        <fgColor theme="3" tint="0.79992065187536243"/>
        <bgColor indexed="64"/>
      </patternFill>
    </fill>
    <fill>
      <patternFill patternType="solid">
        <fgColor theme="9"/>
        <bgColor indexed="64"/>
      </patternFill>
    </fill>
    <fill>
      <patternFill patternType="solid">
        <fgColor rgb="FFF2F2F2"/>
        <bgColor indexed="64"/>
      </patternFill>
    </fill>
    <fill>
      <patternFill patternType="solid">
        <fgColor theme="0"/>
        <bgColor indexed="8"/>
      </patternFill>
    </fill>
    <fill>
      <patternFill patternType="solid">
        <fgColor rgb="FF00FF00"/>
        <bgColor indexed="64"/>
      </patternFill>
    </fill>
    <fill>
      <patternFill patternType="solid">
        <fgColor rgb="FFCCFFCC"/>
        <bgColor indexed="64"/>
      </patternFill>
    </fill>
  </fills>
  <borders count="40">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medium">
        <color auto="1"/>
      </bottom>
      <diagonal/>
    </border>
    <border>
      <left style="medium">
        <color auto="1"/>
      </left>
      <right style="medium">
        <color auto="1"/>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style="medium">
        <color auto="1"/>
      </top>
      <bottom style="medium">
        <color auto="1"/>
      </bottom>
      <diagonal/>
    </border>
    <border>
      <left style="thin">
        <color auto="1"/>
      </left>
      <right style="thin">
        <color auto="1"/>
      </right>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ck">
        <color indexed="12"/>
      </left>
      <right style="thick">
        <color indexed="12"/>
      </right>
      <top style="thick">
        <color indexed="12"/>
      </top>
      <bottom style="thin">
        <color auto="1"/>
      </bottom>
      <diagonal/>
    </border>
    <border>
      <left style="thick">
        <color indexed="12"/>
      </left>
      <right style="thick">
        <color indexed="12"/>
      </right>
      <top style="thin">
        <color auto="1"/>
      </top>
      <bottom style="thin">
        <color auto="1"/>
      </bottom>
      <diagonal/>
    </border>
    <border>
      <left style="thick">
        <color indexed="12"/>
      </left>
      <right style="thick">
        <color indexed="12"/>
      </right>
      <top style="thin">
        <color auto="1"/>
      </top>
      <bottom style="thick">
        <color indexed="12"/>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rgb="FF7F7F7F"/>
      </left>
      <right style="thin">
        <color rgb="FF7F7F7F"/>
      </right>
      <top style="thin">
        <color rgb="FF7F7F7F"/>
      </top>
      <bottom style="thin">
        <color rgb="FF7F7F7F"/>
      </bottom>
      <diagonal/>
    </border>
    <border>
      <left style="thin">
        <color indexed="12"/>
      </left>
      <right style="thin">
        <color indexed="12"/>
      </right>
      <top style="thin">
        <color indexed="12"/>
      </top>
      <bottom style="thin">
        <color indexed="12"/>
      </bottom>
      <diagonal/>
    </border>
    <border>
      <left style="thin">
        <color indexed="64"/>
      </left>
      <right style="medium">
        <color auto="1"/>
      </right>
      <top style="medium">
        <color auto="1"/>
      </top>
      <bottom style="medium">
        <color auto="1"/>
      </bottom>
      <diagonal/>
    </border>
    <border>
      <left/>
      <right style="thin">
        <color indexed="64"/>
      </right>
      <top style="thin">
        <color auto="1"/>
      </top>
      <bottom style="medium">
        <color auto="1"/>
      </bottom>
      <diagonal/>
    </border>
    <border>
      <left style="thin">
        <color indexed="64"/>
      </left>
      <right/>
      <top style="medium">
        <color auto="1"/>
      </top>
      <bottom style="medium">
        <color auto="1"/>
      </bottom>
      <diagonal/>
    </border>
    <border>
      <left/>
      <right style="thin">
        <color indexed="64"/>
      </right>
      <top style="medium">
        <color auto="1"/>
      </top>
      <bottom/>
      <diagonal/>
    </border>
    <border>
      <left/>
      <right style="thin">
        <color indexed="64"/>
      </right>
      <top style="medium">
        <color auto="1"/>
      </top>
      <bottom style="medium">
        <color auto="1"/>
      </bottom>
      <diagonal/>
    </border>
    <border>
      <left style="medium">
        <color auto="1"/>
      </left>
      <right style="thin">
        <color indexed="64"/>
      </right>
      <top style="medium">
        <color auto="1"/>
      </top>
      <bottom style="medium">
        <color auto="1"/>
      </bottom>
      <diagonal/>
    </border>
    <border>
      <left style="thin">
        <color indexed="64"/>
      </left>
      <right style="thin">
        <color auto="1"/>
      </right>
      <top/>
      <bottom/>
      <diagonal/>
    </border>
    <border>
      <left/>
      <right/>
      <top style="thin">
        <color indexed="64"/>
      </top>
      <bottom/>
      <diagonal/>
    </border>
    <border>
      <left style="thin">
        <color auto="1"/>
      </left>
      <right style="thin">
        <color auto="1"/>
      </right>
      <top/>
      <bottom/>
      <diagonal/>
    </border>
    <border>
      <left style="thin">
        <color indexed="64"/>
      </left>
      <right style="thin">
        <color auto="1"/>
      </right>
      <top style="thin">
        <color indexed="64"/>
      </top>
      <bottom style="thin">
        <color auto="1"/>
      </bottom>
      <diagonal/>
    </border>
    <border>
      <left style="thin">
        <color indexed="64"/>
      </left>
      <right/>
      <top/>
      <bottom/>
      <diagonal/>
    </border>
    <border>
      <left/>
      <right style="thin">
        <color auto="1"/>
      </right>
      <top style="thin">
        <color indexed="64"/>
      </top>
      <bottom/>
      <diagonal/>
    </border>
    <border>
      <left style="thin">
        <color indexed="64"/>
      </left>
      <right/>
      <top/>
      <bottom style="thin">
        <color auto="1"/>
      </bottom>
      <diagonal/>
    </border>
    <border>
      <left style="thin">
        <color indexed="64"/>
      </left>
      <right style="thin">
        <color indexed="64"/>
      </right>
      <top style="medium">
        <color auto="1"/>
      </top>
      <bottom style="medium">
        <color auto="1"/>
      </bottom>
      <diagonal/>
    </border>
    <border>
      <left style="medium">
        <color indexed="64"/>
      </left>
      <right style="thin">
        <color indexed="64"/>
      </right>
      <top style="thin">
        <color auto="1"/>
      </top>
      <bottom style="medium">
        <color auto="1"/>
      </bottom>
      <diagonal/>
    </border>
    <border>
      <left style="medium">
        <color auto="1"/>
      </left>
      <right style="thin">
        <color indexed="64"/>
      </right>
      <top style="medium">
        <color auto="1"/>
      </top>
      <bottom/>
      <diagonal/>
    </border>
  </borders>
  <cellStyleXfs count="12">
    <xf numFmtId="0" fontId="0" fillId="0" borderId="0"/>
    <xf numFmtId="0" fontId="39" fillId="0" borderId="0"/>
    <xf numFmtId="9" fontId="38" fillId="0" borderId="0">
      <alignment vertical="center"/>
    </xf>
    <xf numFmtId="0" fontId="41" fillId="0" borderId="0">
      <alignment vertical="center"/>
    </xf>
    <xf numFmtId="0" fontId="42" fillId="17" borderId="0">
      <alignment vertical="center"/>
    </xf>
    <xf numFmtId="0" fontId="44" fillId="18" borderId="22">
      <alignment vertical="center"/>
    </xf>
    <xf numFmtId="0" fontId="40" fillId="0" borderId="0">
      <alignment vertical="top"/>
      <protection locked="0"/>
    </xf>
    <xf numFmtId="0" fontId="45" fillId="0" borderId="0"/>
    <xf numFmtId="0" fontId="38" fillId="0" borderId="0"/>
    <xf numFmtId="0" fontId="19" fillId="0" borderId="0"/>
    <xf numFmtId="0" fontId="43" fillId="0" borderId="0">
      <alignment vertical="center"/>
    </xf>
    <xf numFmtId="0" fontId="4" fillId="0" borderId="0">
      <alignment vertical="center"/>
    </xf>
  </cellStyleXfs>
  <cellXfs count="193">
    <xf numFmtId="0" fontId="0" fillId="0" borderId="0" xfId="0"/>
    <xf numFmtId="0" fontId="1" fillId="0" borderId="0" xfId="0" applyFont="1"/>
    <xf numFmtId="0" fontId="2" fillId="0" borderId="0" xfId="0" applyFont="1"/>
    <xf numFmtId="0" fontId="3" fillId="0" borderId="0" xfId="0" applyFont="1" applyAlignment="1">
      <alignment horizontal="center" vertical="center"/>
    </xf>
    <xf numFmtId="0" fontId="4" fillId="0" borderId="0" xfId="0" applyFont="1" applyAlignment="1">
      <alignment vertical="center"/>
    </xf>
    <xf numFmtId="0" fontId="6" fillId="3" borderId="1" xfId="4" applyFont="1" applyFill="1" applyBorder="1" applyAlignment="1">
      <alignment horizontal="center" vertical="center" wrapText="1"/>
    </xf>
    <xf numFmtId="0" fontId="3" fillId="0" borderId="1" xfId="0" applyFont="1" applyBorder="1" applyAlignment="1">
      <alignment horizontal="center" vertical="center"/>
    </xf>
    <xf numFmtId="0" fontId="7" fillId="0" borderId="1" xfId="0" applyFont="1" applyBorder="1" applyAlignment="1">
      <alignment vertical="center"/>
    </xf>
    <xf numFmtId="0" fontId="8" fillId="0" borderId="1" xfId="0" applyFont="1" applyBorder="1" applyAlignment="1">
      <alignment vertical="center"/>
    </xf>
    <xf numFmtId="0" fontId="7" fillId="0" borderId="0" xfId="0" applyFont="1" applyAlignment="1">
      <alignment vertical="center"/>
    </xf>
    <xf numFmtId="0" fontId="4" fillId="0" borderId="1" xfId="0" applyFont="1" applyBorder="1" applyAlignment="1">
      <alignment vertical="center"/>
    </xf>
    <xf numFmtId="0" fontId="13" fillId="7" borderId="6" xfId="7" applyFont="1" applyFill="1" applyBorder="1" applyAlignment="1">
      <alignment horizontal="center" vertical="center" wrapText="1"/>
    </xf>
    <xf numFmtId="2" fontId="9" fillId="0" borderId="0" xfId="1" applyNumberFormat="1" applyFont="1" applyAlignment="1">
      <alignment vertical="center"/>
    </xf>
    <xf numFmtId="0" fontId="9" fillId="0" borderId="0" xfId="1" applyFont="1" applyAlignment="1">
      <alignment vertical="center"/>
    </xf>
    <xf numFmtId="2" fontId="10" fillId="14" borderId="1" xfId="1" applyNumberFormat="1" applyFont="1" applyFill="1" applyBorder="1" applyAlignment="1">
      <alignment horizontal="center" vertical="center"/>
    </xf>
    <xf numFmtId="0" fontId="10" fillId="9" borderId="1" xfId="1" applyFont="1" applyFill="1" applyBorder="1" applyAlignment="1">
      <alignment horizontal="center" vertical="center"/>
    </xf>
    <xf numFmtId="0" fontId="10" fillId="15" borderId="1" xfId="1" applyFont="1" applyFill="1" applyBorder="1" applyAlignment="1">
      <alignment horizontal="right" vertical="center"/>
    </xf>
    <xf numFmtId="0" fontId="10" fillId="15" borderId="3" xfId="1" applyFont="1" applyFill="1" applyBorder="1" applyAlignment="1">
      <alignment horizontal="right" vertical="center"/>
    </xf>
    <xf numFmtId="0" fontId="9" fillId="15" borderId="3" xfId="1" applyFont="1" applyFill="1" applyBorder="1" applyAlignment="1">
      <alignment horizontal="right" vertical="center"/>
    </xf>
    <xf numFmtId="2" fontId="9" fillId="0" borderId="1" xfId="1" applyNumberFormat="1" applyFont="1" applyBorder="1" applyAlignment="1">
      <alignment vertical="center"/>
    </xf>
    <xf numFmtId="0" fontId="10" fillId="0" borderId="1" xfId="1" applyFont="1" applyBorder="1" applyAlignment="1">
      <alignment horizontal="center" vertical="center"/>
    </xf>
    <xf numFmtId="0" fontId="9" fillId="0" borderId="1" xfId="1" applyFont="1" applyBorder="1" applyAlignment="1">
      <alignment vertical="center"/>
    </xf>
    <xf numFmtId="0" fontId="9" fillId="0" borderId="0" xfId="1" applyFont="1" applyAlignment="1">
      <alignment horizontal="left" vertical="center"/>
    </xf>
    <xf numFmtId="0" fontId="18" fillId="0" borderId="0" xfId="0" applyFont="1"/>
    <xf numFmtId="0" fontId="5" fillId="0" borderId="0" xfId="0" applyFont="1"/>
    <xf numFmtId="0" fontId="18" fillId="0" borderId="10" xfId="0" applyFont="1" applyBorder="1" applyAlignment="1">
      <alignment horizontal="center" vertical="center"/>
    </xf>
    <xf numFmtId="0" fontId="0" fillId="0" borderId="10" xfId="0" applyBorder="1"/>
    <xf numFmtId="0" fontId="0" fillId="0" borderId="10" xfId="0" applyBorder="1" applyAlignment="1">
      <alignment vertical="center" wrapText="1"/>
    </xf>
    <xf numFmtId="0" fontId="18" fillId="0" borderId="1" xfId="0" applyFont="1" applyBorder="1" applyAlignment="1">
      <alignment horizontal="center" vertical="center"/>
    </xf>
    <xf numFmtId="0" fontId="0" fillId="0" borderId="1" xfId="0" applyBorder="1"/>
    <xf numFmtId="0" fontId="0" fillId="0" borderId="1" xfId="0" applyBorder="1" applyAlignment="1">
      <alignment vertical="center" wrapText="1"/>
    </xf>
    <xf numFmtId="0" fontId="0" fillId="0" borderId="1" xfId="0" applyBorder="1" applyAlignment="1">
      <alignment vertical="center"/>
    </xf>
    <xf numFmtId="0" fontId="1" fillId="0" borderId="0" xfId="0" applyFont="1" applyAlignment="1">
      <alignment vertical="center" wrapText="1"/>
    </xf>
    <xf numFmtId="0" fontId="20" fillId="0" borderId="0" xfId="0" applyFont="1" applyAlignment="1">
      <alignment vertical="center" wrapText="1"/>
    </xf>
    <xf numFmtId="0" fontId="21" fillId="0" borderId="0" xfId="0" applyFont="1" applyAlignment="1">
      <alignment horizontal="left" vertical="center" wrapText="1"/>
    </xf>
    <xf numFmtId="0" fontId="20" fillId="0" borderId="0" xfId="0" applyFont="1" applyAlignment="1">
      <alignment horizontal="left" vertical="center" wrapText="1"/>
    </xf>
    <xf numFmtId="0" fontId="20" fillId="0" borderId="0" xfId="0" applyFont="1" applyAlignment="1">
      <alignment horizontal="center" vertical="center" wrapText="1"/>
    </xf>
    <xf numFmtId="0" fontId="23" fillId="0" borderId="0" xfId="0" applyFont="1"/>
    <xf numFmtId="0" fontId="9" fillId="0" borderId="0" xfId="0" applyFont="1" applyAlignment="1">
      <alignment horizontal="left" vertical="center" wrapText="1"/>
    </xf>
    <xf numFmtId="0" fontId="9" fillId="0" borderId="0" xfId="0" applyFont="1" applyAlignment="1">
      <alignment horizontal="center" vertical="center" wrapText="1"/>
    </xf>
    <xf numFmtId="0" fontId="2" fillId="0" borderId="0" xfId="0" applyFont="1" applyAlignment="1">
      <alignment vertical="center" wrapText="1"/>
    </xf>
    <xf numFmtId="0" fontId="25" fillId="0" borderId="0" xfId="0" applyFont="1" applyAlignment="1">
      <alignment vertical="center" wrapText="1"/>
    </xf>
    <xf numFmtId="0" fontId="33" fillId="0" borderId="1" xfId="3" applyFont="1" applyBorder="1" applyAlignment="1">
      <alignment horizontal="center" vertical="center" wrapText="1"/>
    </xf>
    <xf numFmtId="0" fontId="19" fillId="19" borderId="23" xfId="0" applyFont="1" applyFill="1" applyBorder="1" applyAlignment="1">
      <alignment vertical="center" wrapText="1"/>
    </xf>
    <xf numFmtId="0" fontId="19" fillId="0" borderId="0" xfId="0" applyFont="1" applyAlignment="1">
      <alignment wrapText="1"/>
    </xf>
    <xf numFmtId="46" fontId="49" fillId="20" borderId="6" xfId="7" applyNumberFormat="1" applyFont="1" applyFill="1" applyBorder="1" applyAlignment="1">
      <alignment horizontal="center" vertical="center"/>
    </xf>
    <xf numFmtId="2" fontId="48" fillId="8" borderId="6" xfId="7" applyNumberFormat="1" applyFont="1" applyFill="1" applyBorder="1" applyAlignment="1">
      <alignment horizontal="center" vertical="center"/>
    </xf>
    <xf numFmtId="1" fontId="48" fillId="8" borderId="6" xfId="7" applyNumberFormat="1" applyFont="1" applyFill="1" applyBorder="1" applyAlignment="1">
      <alignment horizontal="center" vertical="center"/>
    </xf>
    <xf numFmtId="10" fontId="48" fillId="8" borderId="7" xfId="7" applyNumberFormat="1" applyFont="1" applyFill="1" applyBorder="1" applyAlignment="1">
      <alignment horizontal="center" vertical="center"/>
    </xf>
    <xf numFmtId="0" fontId="10" fillId="10" borderId="6" xfId="7" applyFont="1" applyFill="1" applyBorder="1" applyAlignment="1">
      <alignment horizontal="center" vertical="center" wrapText="1"/>
    </xf>
    <xf numFmtId="0" fontId="10" fillId="11" borderId="6" xfId="7" applyFont="1" applyFill="1" applyBorder="1" applyAlignment="1">
      <alignment horizontal="center" vertical="center" wrapText="1"/>
    </xf>
    <xf numFmtId="0" fontId="10" fillId="11" borderId="7" xfId="7" applyFont="1" applyFill="1" applyBorder="1" applyAlignment="1">
      <alignment horizontal="center" vertical="center" wrapText="1"/>
    </xf>
    <xf numFmtId="0" fontId="10" fillId="10" borderId="6" xfId="7" applyFont="1" applyFill="1" applyBorder="1" applyAlignment="1">
      <alignment vertical="center" wrapText="1"/>
    </xf>
    <xf numFmtId="0" fontId="10" fillId="10" borderId="6" xfId="7" applyFont="1" applyFill="1" applyBorder="1" applyAlignment="1">
      <alignment horizontal="left" vertical="center" wrapText="1"/>
    </xf>
    <xf numFmtId="21" fontId="1" fillId="21" borderId="10" xfId="7" applyNumberFormat="1" applyFont="1" applyFill="1" applyBorder="1" applyAlignment="1">
      <alignment horizontal="center" vertical="center"/>
    </xf>
    <xf numFmtId="0" fontId="9" fillId="7" borderId="21" xfId="8" applyFont="1" applyFill="1" applyBorder="1" applyAlignment="1">
      <alignment horizontal="center" vertical="center"/>
    </xf>
    <xf numFmtId="1" fontId="9" fillId="7" borderId="10" xfId="8" applyNumberFormat="1" applyFont="1" applyFill="1" applyBorder="1" applyAlignment="1">
      <alignment horizontal="center" vertical="center"/>
    </xf>
    <xf numFmtId="0" fontId="9" fillId="7" borderId="10" xfId="8" applyFont="1" applyFill="1" applyBorder="1" applyAlignment="1">
      <alignment horizontal="left" vertical="center" wrapText="1"/>
    </xf>
    <xf numFmtId="0" fontId="13" fillId="7" borderId="9" xfId="7" applyFont="1" applyFill="1" applyBorder="1" applyAlignment="1">
      <alignment horizontal="center" vertical="center" wrapText="1"/>
    </xf>
    <xf numFmtId="22" fontId="9" fillId="12" borderId="10" xfId="8" applyNumberFormat="1" applyFont="1" applyFill="1" applyBorder="1" applyAlignment="1" applyProtection="1">
      <alignment horizontal="left" vertical="center"/>
      <protection locked="0"/>
    </xf>
    <xf numFmtId="3" fontId="9" fillId="12" borderId="20" xfId="8" applyNumberFormat="1" applyFont="1" applyFill="1" applyBorder="1" applyAlignment="1" applyProtection="1">
      <alignment horizontal="center" vertical="center"/>
      <protection locked="0"/>
    </xf>
    <xf numFmtId="0" fontId="9" fillId="12" borderId="1" xfId="8" applyFont="1" applyFill="1" applyBorder="1" applyAlignment="1" applyProtection="1">
      <alignment horizontal="center" vertical="center" wrapText="1"/>
      <protection locked="0"/>
    </xf>
    <xf numFmtId="0" fontId="9" fillId="12" borderId="3" xfId="8" applyFont="1" applyFill="1" applyBorder="1" applyAlignment="1" applyProtection="1">
      <alignment horizontal="center" vertical="center" wrapText="1"/>
      <protection locked="0"/>
    </xf>
    <xf numFmtId="0" fontId="9" fillId="5" borderId="24" xfId="7" applyFont="1" applyFill="1" applyBorder="1" applyAlignment="1">
      <alignment horizontal="left"/>
    </xf>
    <xf numFmtId="0" fontId="13" fillId="7" borderId="26" xfId="7" applyFont="1" applyFill="1" applyBorder="1" applyAlignment="1">
      <alignment horizontal="center" vertical="center" wrapText="1"/>
    </xf>
    <xf numFmtId="10" fontId="48" fillId="8" borderId="24" xfId="7" applyNumberFormat="1" applyFont="1" applyFill="1" applyBorder="1" applyAlignment="1">
      <alignment horizontal="center" vertical="center"/>
    </xf>
    <xf numFmtId="0" fontId="10" fillId="10" borderId="24" xfId="7" applyFont="1" applyFill="1" applyBorder="1" applyAlignment="1">
      <alignment horizontal="center" vertical="center" wrapText="1"/>
    </xf>
    <xf numFmtId="0" fontId="10" fillId="10" borderId="29" xfId="7" applyFont="1" applyFill="1" applyBorder="1" applyAlignment="1">
      <alignment horizontal="center" vertical="center" wrapText="1"/>
    </xf>
    <xf numFmtId="22" fontId="9" fillId="12" borderId="1" xfId="8" applyNumberFormat="1" applyFont="1" applyFill="1" applyBorder="1" applyAlignment="1" applyProtection="1">
      <alignment horizontal="center" vertical="center"/>
      <protection locked="0"/>
    </xf>
    <xf numFmtId="0" fontId="14" fillId="0" borderId="0" xfId="0" applyFont="1" applyAlignment="1">
      <alignment horizontal="center" vertical="center" wrapText="1"/>
    </xf>
    <xf numFmtId="0" fontId="14" fillId="0" borderId="0" xfId="0" applyFont="1" applyAlignment="1">
      <alignment vertical="center" wrapText="1"/>
    </xf>
    <xf numFmtId="0" fontId="14" fillId="0" borderId="18" xfId="0" applyFont="1" applyBorder="1" applyAlignment="1">
      <alignment vertical="center" wrapText="1"/>
    </xf>
    <xf numFmtId="0" fontId="34" fillId="0" borderId="0" xfId="11" applyFont="1" applyAlignment="1">
      <alignment horizontal="center" vertical="center" wrapText="1"/>
    </xf>
    <xf numFmtId="0" fontId="37" fillId="0" borderId="0" xfId="3" applyFont="1" applyAlignment="1">
      <alignment vertical="center" wrapText="1"/>
    </xf>
    <xf numFmtId="0" fontId="25" fillId="0" borderId="19" xfId="0" applyFont="1" applyBorder="1" applyAlignment="1">
      <alignment vertical="center" wrapText="1"/>
    </xf>
    <xf numFmtId="0" fontId="25" fillId="0" borderId="18" xfId="0" applyFont="1" applyBorder="1" applyAlignment="1">
      <alignment vertical="center" wrapText="1"/>
    </xf>
    <xf numFmtId="0" fontId="25" fillId="0" borderId="20" xfId="0" applyFont="1" applyBorder="1" applyAlignment="1">
      <alignment vertical="center" wrapText="1"/>
    </xf>
    <xf numFmtId="0" fontId="25" fillId="0" borderId="2" xfId="0" applyFont="1" applyBorder="1" applyAlignment="1">
      <alignment vertical="center" wrapText="1"/>
    </xf>
    <xf numFmtId="0" fontId="25" fillId="0" borderId="21" xfId="0" applyFont="1" applyBorder="1" applyAlignment="1">
      <alignment vertical="center" wrapText="1"/>
    </xf>
    <xf numFmtId="0" fontId="33" fillId="0" borderId="1" xfId="3" applyFont="1" applyBorder="1" applyAlignment="1" applyProtection="1">
      <alignment horizontal="center" vertical="center" wrapText="1"/>
      <protection locked="0"/>
    </xf>
    <xf numFmtId="9" fontId="33" fillId="0" borderId="1" xfId="2" applyFont="1" applyBorder="1" applyAlignment="1" applyProtection="1">
      <alignment horizontal="center" vertical="center" wrapText="1"/>
      <protection locked="0"/>
    </xf>
    <xf numFmtId="0" fontId="33" fillId="0" borderId="1" xfId="11" applyFont="1" applyBorder="1" applyAlignment="1" applyProtection="1">
      <alignment horizontal="center" vertical="center" wrapText="1"/>
      <protection locked="0"/>
    </xf>
    <xf numFmtId="0" fontId="10" fillId="2" borderId="1" xfId="10" applyFont="1" applyFill="1" applyBorder="1" applyAlignment="1" applyProtection="1">
      <alignment horizontal="center" vertical="center" wrapText="1"/>
      <protection locked="0"/>
    </xf>
    <xf numFmtId="9" fontId="10" fillId="2" borderId="1" xfId="2" applyFont="1" applyFill="1" applyBorder="1" applyAlignment="1" applyProtection="1">
      <alignment horizontal="center" vertical="center" wrapText="1"/>
      <protection locked="0"/>
    </xf>
    <xf numFmtId="0" fontId="25" fillId="0" borderId="0" xfId="0" applyFont="1" applyAlignment="1">
      <alignment horizontal="center" vertical="center" wrapText="1"/>
    </xf>
    <xf numFmtId="14" fontId="14" fillId="0" borderId="0" xfId="0" applyNumberFormat="1" applyFont="1" applyAlignment="1">
      <alignment vertical="center" wrapText="1"/>
    </xf>
    <xf numFmtId="0" fontId="22" fillId="0" borderId="1" xfId="0" applyFont="1" applyBorder="1" applyAlignment="1" applyProtection="1">
      <alignment horizontal="center" vertical="center" wrapText="1"/>
      <protection locked="0"/>
    </xf>
    <xf numFmtId="0" fontId="25" fillId="0" borderId="30" xfId="0" applyFont="1" applyBorder="1" applyAlignment="1">
      <alignment vertical="center" wrapText="1"/>
    </xf>
    <xf numFmtId="0" fontId="22" fillId="0" borderId="1" xfId="0" applyFont="1" applyBorder="1" applyAlignment="1">
      <alignment horizontal="center" vertical="center" wrapText="1"/>
    </xf>
    <xf numFmtId="0" fontId="33" fillId="0" borderId="1" xfId="2" applyNumberFormat="1" applyFont="1" applyBorder="1" applyAlignment="1">
      <alignment horizontal="center" vertical="center" wrapText="1"/>
    </xf>
    <xf numFmtId="0" fontId="33" fillId="0" borderId="1" xfId="11" applyFont="1" applyBorder="1" applyAlignment="1">
      <alignment horizontal="center" vertical="center" wrapText="1"/>
    </xf>
    <xf numFmtId="0" fontId="33" fillId="0" borderId="1" xfId="2" applyNumberFormat="1" applyFont="1" applyBorder="1" applyAlignment="1" applyProtection="1">
      <alignment horizontal="center" vertical="center" wrapText="1"/>
      <protection locked="0"/>
    </xf>
    <xf numFmtId="0" fontId="14" fillId="0" borderId="1" xfId="0" applyFont="1" applyBorder="1" applyAlignment="1">
      <alignment horizontal="center" vertical="center" wrapText="1"/>
    </xf>
    <xf numFmtId="0" fontId="5" fillId="0" borderId="18" xfId="0" applyFont="1" applyBorder="1" applyAlignment="1">
      <alignment horizontal="left" vertical="center" wrapText="1"/>
    </xf>
    <xf numFmtId="0" fontId="6" fillId="0" borderId="0" xfId="4" applyFont="1" applyFill="1" applyAlignment="1">
      <alignment horizontal="center" vertical="center" wrapText="1"/>
    </xf>
    <xf numFmtId="179" fontId="10" fillId="2" borderId="1" xfId="10" applyNumberFormat="1" applyFont="1" applyFill="1" applyBorder="1" applyAlignment="1" applyProtection="1">
      <alignment horizontal="center" vertical="center" wrapText="1"/>
      <protection locked="0"/>
    </xf>
    <xf numFmtId="179" fontId="22" fillId="0" borderId="1" xfId="0" applyNumberFormat="1" applyFont="1" applyBorder="1" applyAlignment="1" applyProtection="1">
      <alignment horizontal="center" vertical="center" wrapText="1"/>
      <protection locked="0"/>
    </xf>
    <xf numFmtId="179" fontId="22" fillId="0" borderId="1" xfId="0" applyNumberFormat="1" applyFont="1" applyBorder="1" applyAlignment="1">
      <alignment horizontal="center" vertical="center" wrapText="1"/>
    </xf>
    <xf numFmtId="179" fontId="50" fillId="0" borderId="1" xfId="0" applyNumberFormat="1" applyFont="1" applyBorder="1" applyAlignment="1" applyProtection="1">
      <alignment horizontal="center" vertical="center" wrapText="1"/>
      <protection locked="0"/>
    </xf>
    <xf numFmtId="179" fontId="25" fillId="0" borderId="19" xfId="0" applyNumberFormat="1" applyFont="1" applyBorder="1" applyAlignment="1">
      <alignment vertical="center" wrapText="1"/>
    </xf>
    <xf numFmtId="176" fontId="9" fillId="7" borderId="1" xfId="8" applyNumberFormat="1" applyFont="1" applyFill="1" applyBorder="1" applyAlignment="1">
      <alignment horizontal="center" vertical="center"/>
    </xf>
    <xf numFmtId="176" fontId="9" fillId="7" borderId="1" xfId="0" applyNumberFormat="1" applyFont="1" applyFill="1" applyBorder="1" applyAlignment="1">
      <alignment horizontal="center" vertical="center"/>
    </xf>
    <xf numFmtId="177" fontId="9" fillId="0" borderId="0" xfId="1" applyNumberFormat="1" applyFont="1" applyAlignment="1">
      <alignment horizontal="right" vertical="center"/>
    </xf>
    <xf numFmtId="177" fontId="9" fillId="15" borderId="1" xfId="1" applyNumberFormat="1" applyFont="1" applyFill="1" applyBorder="1" applyAlignment="1">
      <alignment vertical="center"/>
    </xf>
    <xf numFmtId="177" fontId="9" fillId="0" borderId="0" xfId="1" applyNumberFormat="1" applyFont="1" applyAlignment="1">
      <alignment vertical="center"/>
    </xf>
    <xf numFmtId="177" fontId="9" fillId="15" borderId="12" xfId="1" applyNumberFormat="1" applyFont="1" applyFill="1" applyBorder="1" applyAlignment="1">
      <alignment vertical="center"/>
    </xf>
    <xf numFmtId="177" fontId="9" fillId="15" borderId="13" xfId="1" applyNumberFormat="1" applyFont="1" applyFill="1" applyBorder="1" applyAlignment="1">
      <alignment vertical="center"/>
    </xf>
    <xf numFmtId="177" fontId="9" fillId="15" borderId="14" xfId="1" applyNumberFormat="1" applyFont="1" applyFill="1" applyBorder="1" applyAlignment="1">
      <alignment vertical="center"/>
    </xf>
    <xf numFmtId="177" fontId="9" fillId="15" borderId="14" xfId="1" applyNumberFormat="1" applyFont="1" applyFill="1" applyBorder="1" applyAlignment="1">
      <alignment horizontal="right" vertical="center"/>
    </xf>
    <xf numFmtId="177" fontId="9" fillId="15" borderId="15" xfId="1" applyNumberFormat="1" applyFont="1" applyFill="1" applyBorder="1" applyAlignment="1">
      <alignment vertical="center"/>
    </xf>
    <xf numFmtId="178" fontId="16" fillId="0" borderId="0" xfId="6" applyNumberFormat="1" applyFont="1" applyAlignment="1" applyProtection="1">
      <alignment horizontal="right" vertical="center"/>
    </xf>
    <xf numFmtId="0" fontId="1" fillId="0" borderId="0" xfId="0" applyFont="1" applyAlignment="1">
      <alignment wrapText="1"/>
    </xf>
    <xf numFmtId="0" fontId="22" fillId="0" borderId="1" xfId="0" applyFont="1" applyBorder="1" applyAlignment="1">
      <alignment horizontal="left" vertical="center" wrapText="1"/>
    </xf>
    <xf numFmtId="0" fontId="0" fillId="0" borderId="11" xfId="0" applyBorder="1"/>
    <xf numFmtId="0" fontId="0" fillId="0" borderId="4" xfId="0" applyBorder="1"/>
    <xf numFmtId="0" fontId="27" fillId="0" borderId="18" xfId="0" applyFont="1" applyBorder="1" applyAlignment="1">
      <alignment horizontal="left" vertical="center" wrapText="1"/>
    </xf>
    <xf numFmtId="0" fontId="25" fillId="0" borderId="0" xfId="0" applyFont="1" applyAlignment="1">
      <alignment vertical="center" wrapText="1"/>
    </xf>
    <xf numFmtId="0" fontId="35" fillId="16" borderId="1" xfId="0" applyFont="1" applyFill="1" applyBorder="1" applyAlignment="1">
      <alignment horizontal="center" vertical="center" wrapText="1"/>
    </xf>
    <xf numFmtId="0" fontId="14" fillId="0" borderId="1" xfId="0" applyFont="1" applyBorder="1" applyAlignment="1">
      <alignment horizontal="center" vertical="center" wrapText="1"/>
    </xf>
    <xf numFmtId="0" fontId="14" fillId="0" borderId="19" xfId="0" applyFont="1" applyBorder="1" applyAlignment="1">
      <alignment horizontal="left" vertical="center" wrapText="1"/>
    </xf>
    <xf numFmtId="0" fontId="0" fillId="0" borderId="19" xfId="0" applyBorder="1"/>
    <xf numFmtId="0" fontId="32" fillId="2" borderId="1" xfId="10" applyFont="1" applyFill="1" applyBorder="1" applyAlignment="1" applyProtection="1">
      <alignment horizontal="center" vertical="center" wrapText="1"/>
      <protection locked="0"/>
    </xf>
    <xf numFmtId="0" fontId="0" fillId="0" borderId="11" xfId="0" applyBorder="1" applyProtection="1">
      <protection locked="0"/>
    </xf>
    <xf numFmtId="0" fontId="0" fillId="0" borderId="4" xfId="0" applyBorder="1" applyProtection="1">
      <protection locked="0"/>
    </xf>
    <xf numFmtId="0" fontId="5" fillId="0" borderId="18" xfId="0" applyFont="1" applyBorder="1" applyAlignment="1">
      <alignment horizontal="left" vertical="center" wrapText="1"/>
    </xf>
    <xf numFmtId="0" fontId="13" fillId="2" borderId="1" xfId="10" applyFont="1" applyFill="1" applyBorder="1" applyAlignment="1" applyProtection="1">
      <alignment horizontal="center" vertical="center" wrapText="1"/>
      <protection locked="0"/>
    </xf>
    <xf numFmtId="0" fontId="0" fillId="0" borderId="10" xfId="0" applyBorder="1" applyProtection="1">
      <protection locked="0"/>
    </xf>
    <xf numFmtId="0" fontId="35" fillId="16" borderId="1" xfId="0" applyFont="1" applyFill="1" applyBorder="1" applyAlignment="1">
      <alignment horizontal="center" vertical="top" wrapText="1"/>
    </xf>
    <xf numFmtId="0" fontId="32" fillId="16" borderId="10" xfId="11" applyFont="1" applyFill="1" applyBorder="1" applyAlignment="1">
      <alignment horizontal="left" vertical="center" wrapText="1"/>
    </xf>
    <xf numFmtId="0" fontId="0" fillId="0" borderId="2" xfId="0" applyBorder="1"/>
    <xf numFmtId="0" fontId="0" fillId="0" borderId="21" xfId="0" applyBorder="1"/>
    <xf numFmtId="0" fontId="14" fillId="2" borderId="1" xfId="0" applyFont="1" applyFill="1" applyBorder="1" applyAlignment="1">
      <alignment horizontal="center" vertical="center" wrapText="1"/>
    </xf>
    <xf numFmtId="0" fontId="27" fillId="0" borderId="12" xfId="0" applyFont="1" applyBorder="1" applyAlignment="1">
      <alignment horizontal="center" vertical="center"/>
    </xf>
    <xf numFmtId="0" fontId="0" fillId="0" borderId="17" xfId="0" applyBorder="1"/>
    <xf numFmtId="0" fontId="27" fillId="0" borderId="18" xfId="0" applyFont="1" applyBorder="1" applyAlignment="1">
      <alignment horizontal="center" vertical="center" wrapText="1"/>
    </xf>
    <xf numFmtId="0" fontId="27" fillId="0" borderId="1" xfId="0" applyFont="1" applyBorder="1" applyAlignment="1">
      <alignment horizontal="center" vertical="center"/>
    </xf>
    <xf numFmtId="0" fontId="29" fillId="2" borderId="1" xfId="0" applyFont="1" applyFill="1" applyBorder="1" applyAlignment="1">
      <alignment horizontal="center" vertical="center" wrapText="1"/>
    </xf>
    <xf numFmtId="0" fontId="22" fillId="2" borderId="1" xfId="0" applyFont="1" applyFill="1" applyBorder="1" applyAlignment="1">
      <alignment horizontal="center" vertical="center" wrapText="1"/>
    </xf>
    <xf numFmtId="0" fontId="29" fillId="0" borderId="32" xfId="0" applyFont="1" applyBorder="1" applyAlignment="1">
      <alignment horizontal="left" vertical="center" wrapText="1"/>
    </xf>
    <xf numFmtId="0" fontId="27" fillId="2" borderId="1" xfId="0" applyFont="1" applyFill="1" applyBorder="1" applyAlignment="1">
      <alignment horizontal="center" vertical="center" wrapText="1"/>
    </xf>
    <xf numFmtId="0" fontId="14" fillId="0" borderId="1" xfId="0" applyFont="1" applyBorder="1" applyAlignment="1">
      <alignment horizontal="left" vertical="center" wrapText="1"/>
    </xf>
    <xf numFmtId="179" fontId="15" fillId="2" borderId="1" xfId="10" applyNumberFormat="1" applyFont="1" applyFill="1" applyBorder="1" applyAlignment="1" applyProtection="1">
      <alignment horizontal="center" vertical="center" wrapText="1"/>
      <protection locked="0"/>
    </xf>
    <xf numFmtId="0" fontId="14" fillId="0" borderId="0" xfId="0" applyFont="1" applyAlignment="1">
      <alignment horizontal="left" vertical="center" wrapText="1"/>
    </xf>
    <xf numFmtId="0" fontId="24" fillId="16" borderId="1" xfId="0" applyFont="1" applyFill="1" applyBorder="1" applyAlignment="1">
      <alignment horizontal="center" vertical="center" wrapText="1"/>
    </xf>
    <xf numFmtId="14" fontId="14" fillId="2" borderId="1" xfId="0" applyNumberFormat="1" applyFont="1" applyFill="1" applyBorder="1" applyAlignment="1">
      <alignment horizontal="center" vertical="center" wrapText="1"/>
    </xf>
    <xf numFmtId="0" fontId="26" fillId="2" borderId="1" xfId="0" applyFont="1" applyFill="1" applyBorder="1" applyAlignment="1">
      <alignment horizontal="center" vertical="center" wrapText="1"/>
    </xf>
    <xf numFmtId="0" fontId="25" fillId="0" borderId="1" xfId="0" applyFont="1" applyBorder="1" applyAlignment="1">
      <alignment horizontal="center" vertical="center" wrapText="1"/>
    </xf>
    <xf numFmtId="0" fontId="0" fillId="0" borderId="18" xfId="0" applyBorder="1"/>
    <xf numFmtId="0" fontId="0" fillId="0" borderId="20" xfId="0" applyBorder="1"/>
    <xf numFmtId="0" fontId="36" fillId="0" borderId="1" xfId="0" applyFont="1" applyBorder="1" applyAlignment="1">
      <alignment horizontal="left" vertical="center" wrapText="1"/>
    </xf>
    <xf numFmtId="179" fontId="27" fillId="0" borderId="12" xfId="0" applyNumberFormat="1" applyFont="1" applyBorder="1" applyAlignment="1">
      <alignment horizontal="center" vertical="center"/>
    </xf>
    <xf numFmtId="0" fontId="33" fillId="2" borderId="1" xfId="0" applyFont="1" applyFill="1" applyBorder="1" applyAlignment="1">
      <alignment horizontal="center" vertical="center" wrapText="1"/>
    </xf>
    <xf numFmtId="179" fontId="32" fillId="2" borderId="1" xfId="10" applyNumberFormat="1" applyFont="1" applyFill="1" applyBorder="1" applyAlignment="1" applyProtection="1">
      <alignment horizontal="center" vertical="center" wrapText="1"/>
      <protection locked="0"/>
    </xf>
    <xf numFmtId="0" fontId="31" fillId="0" borderId="18" xfId="0" applyFont="1" applyBorder="1" applyAlignment="1">
      <alignment horizontal="center" vertical="center" wrapText="1"/>
    </xf>
    <xf numFmtId="0" fontId="30" fillId="0" borderId="16" xfId="0" applyFont="1" applyBorder="1" applyAlignment="1">
      <alignment horizontal="left" vertical="center" wrapText="1"/>
    </xf>
    <xf numFmtId="0" fontId="0" fillId="0" borderId="16" xfId="0" applyBorder="1"/>
    <xf numFmtId="0" fontId="5" fillId="0" borderId="12" xfId="0" applyFont="1" applyBorder="1" applyAlignment="1">
      <alignment horizontal="left" vertical="center" wrapText="1"/>
    </xf>
    <xf numFmtId="0" fontId="35" fillId="16" borderId="1" xfId="0" applyFont="1" applyFill="1" applyBorder="1" applyAlignment="1">
      <alignment horizontal="left" vertical="center" wrapText="1"/>
    </xf>
    <xf numFmtId="0" fontId="28" fillId="2" borderId="1" xfId="0" applyFont="1" applyFill="1" applyBorder="1" applyAlignment="1">
      <alignment horizontal="center" vertical="center" wrapText="1"/>
    </xf>
    <xf numFmtId="0" fontId="25" fillId="0" borderId="1" xfId="0" applyFont="1" applyBorder="1" applyAlignment="1">
      <alignment horizontal="left" vertical="top" wrapText="1"/>
    </xf>
    <xf numFmtId="0" fontId="32" fillId="16" borderId="1" xfId="11" applyFont="1" applyFill="1" applyBorder="1" applyAlignment="1">
      <alignment horizontal="left" vertical="center" wrapText="1"/>
    </xf>
    <xf numFmtId="0" fontId="5" fillId="0" borderId="0" xfId="0" applyFont="1" applyAlignment="1">
      <alignment horizontal="left"/>
    </xf>
    <xf numFmtId="0" fontId="1" fillId="0" borderId="0" xfId="0" applyFont="1"/>
    <xf numFmtId="0" fontId="5" fillId="0" borderId="2" xfId="0" applyFont="1" applyBorder="1" applyAlignment="1">
      <alignment horizontal="left"/>
    </xf>
    <xf numFmtId="0" fontId="5" fillId="0" borderId="0" xfId="0" applyFont="1" applyAlignment="1">
      <alignment horizontal="left" vertical="center" wrapText="1"/>
    </xf>
    <xf numFmtId="0" fontId="1" fillId="0" borderId="0" xfId="0" applyFont="1" applyAlignment="1">
      <alignment vertical="center" wrapText="1"/>
    </xf>
    <xf numFmtId="0" fontId="6" fillId="0" borderId="33" xfId="4" applyFont="1" applyFill="1" applyBorder="1" applyAlignment="1">
      <alignment horizontal="center" vertical="center" wrapText="1"/>
    </xf>
    <xf numFmtId="0" fontId="0" fillId="0" borderId="31" xfId="0" applyBorder="1"/>
    <xf numFmtId="0" fontId="0" fillId="0" borderId="35" xfId="0" applyBorder="1"/>
    <xf numFmtId="0" fontId="0" fillId="0" borderId="34" xfId="0" applyBorder="1"/>
    <xf numFmtId="0" fontId="3" fillId="0" borderId="0" xfId="0" applyFont="1" applyAlignment="1">
      <alignment horizontal="center" vertical="center"/>
    </xf>
    <xf numFmtId="0" fontId="4" fillId="0" borderId="0" xfId="0" applyFont="1" applyAlignment="1">
      <alignment vertical="center"/>
    </xf>
    <xf numFmtId="0" fontId="0" fillId="0" borderId="36" xfId="0" applyBorder="1"/>
    <xf numFmtId="0" fontId="13" fillId="7" borderId="39" xfId="7" applyFont="1" applyFill="1" applyBorder="1" applyAlignment="1">
      <alignment horizontal="center" vertical="center" wrapText="1"/>
    </xf>
    <xf numFmtId="0" fontId="0" fillId="0" borderId="27" xfId="0" applyBorder="1"/>
    <xf numFmtId="0" fontId="12" fillId="6" borderId="38" xfId="7" applyFont="1" applyFill="1" applyBorder="1" applyAlignment="1">
      <alignment horizontal="center" vertical="center"/>
    </xf>
    <xf numFmtId="0" fontId="0" fillId="0" borderId="5" xfId="0" applyBorder="1"/>
    <xf numFmtId="0" fontId="0" fillId="0" borderId="25" xfId="0" applyBorder="1"/>
    <xf numFmtId="1" fontId="48" fillId="8" borderId="29" xfId="7" applyNumberFormat="1" applyFont="1" applyFill="1" applyBorder="1" applyAlignment="1">
      <alignment horizontal="center" vertical="center"/>
    </xf>
    <xf numFmtId="0" fontId="0" fillId="0" borderId="28" xfId="0" applyBorder="1"/>
    <xf numFmtId="0" fontId="11" fillId="4" borderId="12" xfId="7" applyFont="1" applyFill="1" applyBorder="1" applyAlignment="1">
      <alignment horizontal="center" vertical="center"/>
    </xf>
    <xf numFmtId="21" fontId="14" fillId="9" borderId="37" xfId="7" applyNumberFormat="1" applyFont="1" applyFill="1" applyBorder="1" applyAlignment="1" applyProtection="1">
      <alignment horizontal="left" vertical="center" wrapText="1"/>
      <protection locked="0"/>
    </xf>
    <xf numFmtId="0" fontId="0" fillId="0" borderId="7" xfId="0" applyBorder="1" applyProtection="1">
      <protection locked="0"/>
    </xf>
    <xf numFmtId="0" fontId="0" fillId="0" borderId="28" xfId="0" applyBorder="1" applyProtection="1">
      <protection locked="0"/>
    </xf>
    <xf numFmtId="0" fontId="13" fillId="7" borderId="8" xfId="7" applyFont="1" applyFill="1" applyBorder="1" applyAlignment="1">
      <alignment horizontal="center" vertical="center" wrapText="1"/>
    </xf>
    <xf numFmtId="0" fontId="0" fillId="0" borderId="8" xfId="0" applyBorder="1"/>
    <xf numFmtId="180" fontId="49" fillId="20" borderId="6" xfId="7" applyNumberFormat="1" applyFont="1" applyFill="1" applyBorder="1" applyAlignment="1">
      <alignment horizontal="center" vertical="center"/>
    </xf>
    <xf numFmtId="0" fontId="17" fillId="0" borderId="1" xfId="1" applyFont="1" applyBorder="1" applyAlignment="1">
      <alignment horizontal="center" vertical="center"/>
    </xf>
    <xf numFmtId="2" fontId="15" fillId="13" borderId="2" xfId="1" applyNumberFormat="1" applyFont="1" applyFill="1" applyBorder="1" applyAlignment="1">
      <alignment horizontal="center" vertical="center"/>
    </xf>
    <xf numFmtId="2" fontId="15" fillId="9" borderId="1" xfId="1" applyNumberFormat="1" applyFont="1" applyFill="1" applyBorder="1" applyAlignment="1">
      <alignment horizontal="center" vertical="center"/>
    </xf>
    <xf numFmtId="0" fontId="9" fillId="0" borderId="0" xfId="1" applyFont="1" applyAlignment="1">
      <alignment vertical="center"/>
    </xf>
    <xf numFmtId="0" fontId="9" fillId="0" borderId="1" xfId="1" applyFont="1" applyBorder="1" applyAlignment="1">
      <alignment horizontal="left" vertical="center" wrapText="1"/>
    </xf>
    <xf numFmtId="2" fontId="15" fillId="13" borderId="1" xfId="1" applyNumberFormat="1" applyFont="1" applyFill="1" applyBorder="1" applyAlignment="1">
      <alignment horizontal="center" vertical="center"/>
    </xf>
  </cellXfs>
  <cellStyles count="12">
    <cellStyle name="Accent6 2" xfId="4"/>
    <cellStyle name="Calculation 2" xfId="5"/>
    <cellStyle name="Normal 2 3" xfId="7"/>
    <cellStyle name="Normal 4 3" xfId="1"/>
    <cellStyle name="百分比" xfId="2" builtinId="5"/>
    <cellStyle name="常规" xfId="0" builtinId="0"/>
    <cellStyle name="常规 11 9" xfId="3"/>
    <cellStyle name="常规 19" xfId="8"/>
    <cellStyle name="常规 2" xfId="9"/>
    <cellStyle name="常规_Sheet1" xfId="10"/>
    <cellStyle name="常规_Sheet1_1" xfId="11"/>
    <cellStyle name="超链接 2" xfId="6"/>
  </cellStyles>
  <dxfs count="99">
    <dxf>
      <fill>
        <patternFill patternType="solid">
          <bgColor rgb="FF92D050"/>
        </patternFill>
      </fill>
    </dxf>
    <dxf>
      <font>
        <color rgb="FFFF0000"/>
      </font>
    </dxf>
    <dxf>
      <fill>
        <patternFill patternType="solid">
          <bgColor rgb="FF00FF00"/>
        </patternFill>
      </fill>
    </dxf>
    <dxf>
      <font>
        <color rgb="FFFF0000"/>
      </font>
    </dxf>
    <dxf>
      <font>
        <color indexed="10"/>
      </font>
    </dxf>
    <dxf>
      <fill>
        <patternFill patternType="solid">
          <bgColor indexed="11"/>
        </patternFill>
      </fill>
    </dxf>
    <dxf>
      <fill>
        <patternFill patternType="solid">
          <bgColor rgb="FF92D050"/>
        </patternFill>
      </fill>
    </dxf>
    <dxf>
      <font>
        <color rgb="FFFF0000"/>
      </font>
    </dxf>
    <dxf>
      <fill>
        <patternFill patternType="solid">
          <bgColor rgb="FF00FF00"/>
        </patternFill>
      </fill>
    </dxf>
    <dxf>
      <font>
        <color rgb="FFFF0000"/>
      </font>
    </dxf>
    <dxf>
      <font>
        <color indexed="10"/>
      </font>
    </dxf>
    <dxf>
      <fill>
        <patternFill patternType="solid">
          <bgColor indexed="11"/>
        </patternFill>
      </fill>
    </dxf>
    <dxf>
      <fill>
        <patternFill patternType="solid">
          <bgColor rgb="FF92D050"/>
        </patternFill>
      </fill>
    </dxf>
    <dxf>
      <font>
        <color rgb="FFFF0000"/>
      </font>
    </dxf>
    <dxf>
      <fill>
        <patternFill patternType="solid">
          <bgColor rgb="FF92D050"/>
        </patternFill>
      </fill>
    </dxf>
    <dxf>
      <font>
        <color rgb="FFFF0000"/>
      </font>
    </dxf>
    <dxf>
      <font>
        <color indexed="10"/>
      </font>
    </dxf>
    <dxf>
      <fill>
        <patternFill patternType="solid">
          <bgColor indexed="11"/>
        </patternFill>
      </fill>
    </dxf>
    <dxf>
      <fill>
        <patternFill patternType="solid">
          <bgColor rgb="FF00FF00"/>
        </patternFill>
      </fill>
    </dxf>
    <dxf>
      <font>
        <color rgb="FFFF0000"/>
      </font>
    </dxf>
    <dxf>
      <fill>
        <patternFill patternType="solid">
          <bgColor rgb="FF92D050"/>
        </patternFill>
      </fill>
    </dxf>
    <dxf>
      <font>
        <color rgb="FFFF0000"/>
      </font>
    </dxf>
    <dxf>
      <fill>
        <patternFill patternType="solid">
          <bgColor rgb="FF00FF00"/>
        </patternFill>
      </fill>
    </dxf>
    <dxf>
      <font>
        <color rgb="FFFF0000"/>
      </font>
    </dxf>
    <dxf>
      <font>
        <color indexed="10"/>
      </font>
    </dxf>
    <dxf>
      <fill>
        <patternFill patternType="solid">
          <bgColor indexed="11"/>
        </patternFill>
      </fill>
    </dxf>
    <dxf>
      <fill>
        <patternFill patternType="solid">
          <bgColor rgb="FF92D050"/>
        </patternFill>
      </fill>
    </dxf>
    <dxf>
      <font>
        <color rgb="FFFF0000"/>
      </font>
    </dxf>
    <dxf>
      <fill>
        <patternFill patternType="solid">
          <bgColor rgb="FF00FF00"/>
        </patternFill>
      </fill>
    </dxf>
    <dxf>
      <font>
        <color rgb="FFFF0000"/>
      </font>
    </dxf>
    <dxf>
      <font>
        <color indexed="10"/>
      </font>
    </dxf>
    <dxf>
      <fill>
        <patternFill patternType="solid">
          <bgColor indexed="11"/>
        </patternFill>
      </fill>
    </dxf>
    <dxf>
      <fill>
        <patternFill patternType="solid">
          <bgColor rgb="FF92D050"/>
        </patternFill>
      </fill>
    </dxf>
    <dxf>
      <font>
        <color rgb="FFFF0000"/>
      </font>
    </dxf>
    <dxf>
      <fill>
        <patternFill patternType="solid">
          <bgColor rgb="FF92D050"/>
        </patternFill>
      </fill>
    </dxf>
    <dxf>
      <font>
        <color rgb="FFFF0000"/>
      </font>
    </dxf>
    <dxf>
      <font>
        <color indexed="10"/>
      </font>
    </dxf>
    <dxf>
      <fill>
        <patternFill patternType="solid">
          <bgColor indexed="11"/>
        </patternFill>
      </fill>
    </dxf>
    <dxf>
      <fill>
        <patternFill patternType="solid">
          <bgColor rgb="FF00FF00"/>
        </patternFill>
      </fill>
    </dxf>
    <dxf>
      <font>
        <color rgb="FFFF0000"/>
      </font>
    </dxf>
    <dxf>
      <fill>
        <patternFill patternType="solid">
          <bgColor rgb="FF92D050"/>
        </patternFill>
      </fill>
    </dxf>
    <dxf>
      <font>
        <color rgb="FFFF0000"/>
      </font>
    </dxf>
    <dxf>
      <fill>
        <patternFill patternType="solid">
          <bgColor rgb="FF00FF00"/>
        </patternFill>
      </fill>
    </dxf>
    <dxf>
      <font>
        <color rgb="FFFF0000"/>
      </font>
    </dxf>
    <dxf>
      <font>
        <color indexed="10"/>
      </font>
    </dxf>
    <dxf>
      <fill>
        <patternFill patternType="solid">
          <bgColor indexed="11"/>
        </patternFill>
      </fill>
    </dxf>
    <dxf>
      <fill>
        <patternFill patternType="solid">
          <bgColor rgb="FF92D050"/>
        </patternFill>
      </fill>
    </dxf>
    <dxf>
      <font>
        <color rgb="FFFF0000"/>
      </font>
    </dxf>
    <dxf>
      <fill>
        <patternFill patternType="solid">
          <bgColor rgb="FF00FF00"/>
        </patternFill>
      </fill>
    </dxf>
    <dxf>
      <font>
        <color rgb="FFFF0000"/>
      </font>
    </dxf>
    <dxf>
      <font>
        <color indexed="10"/>
      </font>
    </dxf>
    <dxf>
      <fill>
        <patternFill patternType="solid">
          <bgColor indexed="11"/>
        </patternFill>
      </fill>
    </dxf>
    <dxf>
      <fill>
        <patternFill patternType="solid">
          <bgColor rgb="FF92D050"/>
        </patternFill>
      </fill>
    </dxf>
    <dxf>
      <font>
        <color rgb="FFFF0000"/>
      </font>
    </dxf>
    <dxf>
      <fill>
        <patternFill patternType="solid">
          <bgColor rgb="FF92D050"/>
        </patternFill>
      </fill>
    </dxf>
    <dxf>
      <font>
        <color rgb="FFFF0000"/>
      </font>
    </dxf>
    <dxf>
      <font>
        <color indexed="10"/>
      </font>
    </dxf>
    <dxf>
      <fill>
        <patternFill patternType="solid">
          <bgColor indexed="11"/>
        </patternFill>
      </fill>
    </dxf>
    <dxf>
      <fill>
        <patternFill patternType="solid">
          <bgColor rgb="FF00FF00"/>
        </patternFill>
      </fill>
    </dxf>
    <dxf>
      <font>
        <color rgb="FFFF0000"/>
      </font>
    </dxf>
    <dxf>
      <fill>
        <patternFill patternType="solid">
          <bgColor rgb="FF00B050"/>
        </patternFill>
      </fill>
    </dxf>
    <dxf>
      <fill>
        <patternFill patternType="solid">
          <bgColor rgb="FFFF0000"/>
        </patternFill>
      </fill>
    </dxf>
    <dxf>
      <border>
        <left style="thin">
          <color auto="1"/>
        </left>
        <right style="thin">
          <color auto="1"/>
        </right>
        <top style="thin">
          <color auto="1"/>
        </top>
        <bottom style="thin">
          <color auto="1"/>
        </bottom>
        <vertical/>
        <horizontal/>
      </border>
    </dxf>
    <dxf>
      <fill>
        <patternFill patternType="solid">
          <bgColor indexed="10"/>
        </patternFill>
      </fill>
    </dxf>
    <dxf>
      <fill>
        <patternFill patternType="solid">
          <bgColor indexed="53"/>
        </patternFill>
      </fill>
    </dxf>
    <dxf>
      <fill>
        <patternFill patternType="solid">
          <bgColor indexed="11"/>
        </patternFill>
      </fill>
    </dxf>
    <dxf>
      <fill>
        <patternFill patternType="solid">
          <bgColor indexed="10"/>
        </patternFill>
      </fill>
    </dxf>
    <dxf>
      <fill>
        <patternFill patternType="solid">
          <bgColor indexed="11"/>
        </patternFill>
      </fill>
    </dxf>
    <dxf>
      <fill>
        <patternFill patternType="solid">
          <bgColor indexed="10"/>
        </patternFill>
      </fill>
    </dxf>
    <dxf>
      <fill>
        <patternFill patternType="solid">
          <bgColor rgb="FF00B050"/>
        </patternFill>
      </fill>
    </dxf>
    <dxf>
      <fill>
        <patternFill patternType="solid">
          <bgColor rgb="FFFF0000"/>
        </patternFill>
      </fill>
    </dxf>
    <dxf>
      <fill>
        <patternFill patternType="solid">
          <bgColor rgb="FF00B050"/>
        </patternFill>
      </fill>
    </dxf>
    <dxf>
      <fill>
        <patternFill patternType="solid">
          <bgColor rgb="FFFF0000"/>
        </patternFill>
      </fill>
    </dxf>
    <dxf>
      <fill>
        <patternFill patternType="solid">
          <bgColor rgb="FF00B050"/>
        </patternFill>
      </fill>
    </dxf>
    <dxf>
      <fill>
        <patternFill patternType="solid">
          <bgColor rgb="FFFF0000"/>
        </patternFill>
      </fill>
    </dxf>
    <dxf>
      <fill>
        <patternFill patternType="solid">
          <bgColor rgb="FF00B050"/>
        </patternFill>
      </fill>
    </dxf>
    <dxf>
      <fill>
        <patternFill patternType="solid">
          <bgColor rgb="FFFF0000"/>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FF0000"/>
      </font>
    </dxf>
    <dxf>
      <font>
        <color rgb="FFFF0000"/>
      </font>
    </dxf>
    <dxf>
      <font>
        <color rgb="FF00B050"/>
      </font>
    </dxf>
    <dxf>
      <font>
        <color rgb="FFFFFF00"/>
      </font>
    </dxf>
    <dxf>
      <font>
        <color rgb="FFFFC000"/>
      </font>
    </dxf>
    <dxf>
      <font>
        <color rgb="FF006100"/>
      </font>
      <fill>
        <patternFill patternType="solid">
          <bgColor rgb="FFC6EFCE"/>
        </patternFill>
      </fill>
    </dxf>
    <dxf>
      <font>
        <color rgb="FF006100"/>
      </font>
      <fill>
        <patternFill patternType="solid">
          <bgColor rgb="FFC6EF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1"/>
  <c:style val="2"/>
  <c:chart>
    <c:autoTitleDeleted val="1"/>
    <c:plotArea>
      <c:layout>
        <c:manualLayout>
          <c:layoutTarget val="inner"/>
          <c:xMode val="edge"/>
          <c:yMode val="edge"/>
          <c:x val="4.2569247727889593E-2"/>
          <c:y val="7.4863897220496953E-2"/>
          <c:w val="0.82024792666384483"/>
          <c:h val="0.78355223565461429"/>
        </c:manualLayout>
      </c:layout>
      <c:lineChart>
        <c:grouping val="standard"/>
        <c:varyColors val="0"/>
        <c:ser>
          <c:idx val="7"/>
          <c:order val="0"/>
          <c:tx>
            <c:strRef>
              <c:f>验收测试结果!$N$16</c:f>
              <c:strCache>
                <c:ptCount val="1"/>
                <c:pt idx="0">
                  <c:v>本轮新增缺陷总数</c:v>
                </c:pt>
              </c:strCache>
            </c:strRef>
          </c:tx>
          <c:spPr>
            <a:ln w="22225" cap="rnd">
              <a:solidFill>
                <a:schemeClr val="accent5">
                  <a:lumMod val="80000"/>
                  <a:lumOff val="20000"/>
                </a:schemeClr>
              </a:solidFill>
              <a:prstDash val="solid"/>
              <a:round/>
            </a:ln>
          </c:spPr>
          <c:marker>
            <c:symbol val="dot"/>
            <c:size val="6"/>
            <c:spPr>
              <a:solidFill>
                <a:schemeClr val="accent5">
                  <a:lumMod val="80000"/>
                  <a:lumOff val="20000"/>
                </a:schemeClr>
              </a:solidFill>
              <a:ln w="9525">
                <a:solidFill>
                  <a:schemeClr val="accent5">
                    <a:lumMod val="80000"/>
                    <a:lumOff val="20000"/>
                  </a:schemeClr>
                </a:solidFill>
                <a:prstDash val="solid"/>
                <a:round/>
              </a:ln>
            </c:spPr>
          </c:marker>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1">
                        <a:lumMod val="50000"/>
                        <a:lumOff val="50000"/>
                      </a:schemeClr>
                    </a:solidFill>
                    <a:latin typeface="+mn-lt"/>
                    <a:ea typeface="+mn-ea"/>
                    <a:cs typeface="+mn-cs"/>
                  </a:defRPr>
                </a:pPr>
                <a:endParaRPr lang="zh-CN"/>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验收测试结果!$C$17:$C$24</c:f>
              <c:numCache>
                <c:formatCode>General</c:formatCode>
                <c:ptCount val="8"/>
                <c:pt idx="0">
                  <c:v>1</c:v>
                </c:pt>
                <c:pt idx="1">
                  <c:v>2</c:v>
                </c:pt>
                <c:pt idx="2">
                  <c:v>3</c:v>
                </c:pt>
                <c:pt idx="3">
                  <c:v>4</c:v>
                </c:pt>
                <c:pt idx="4">
                  <c:v>5</c:v>
                </c:pt>
                <c:pt idx="5">
                  <c:v>6</c:v>
                </c:pt>
                <c:pt idx="6">
                  <c:v>7</c:v>
                </c:pt>
                <c:pt idx="7">
                  <c:v>8</c:v>
                </c:pt>
              </c:numCache>
            </c:numRef>
          </c:cat>
          <c:val>
            <c:numRef>
              <c:f>验收测试结果!$N$17:$N$24</c:f>
              <c:numCache>
                <c:formatCode>General</c:formatCode>
                <c:ptCount val="8"/>
                <c:pt idx="0">
                  <c:v>38</c:v>
                </c:pt>
                <c:pt idx="1">
                  <c:v>78</c:v>
                </c:pt>
                <c:pt idx="2">
                  <c:v>34</c:v>
                </c:pt>
                <c:pt idx="3">
                  <c:v>48</c:v>
                </c:pt>
                <c:pt idx="4">
                  <c:v>21</c:v>
                </c:pt>
                <c:pt idx="5">
                  <c:v>18</c:v>
                </c:pt>
                <c:pt idx="6">
                  <c:v>16</c:v>
                </c:pt>
                <c:pt idx="7">
                  <c:v>12</c:v>
                </c:pt>
              </c:numCache>
            </c:numRef>
          </c:val>
          <c:smooth val="0"/>
        </c:ser>
        <c:ser>
          <c:idx val="8"/>
          <c:order val="1"/>
          <c:tx>
            <c:strRef>
              <c:f>验收测试结果!$W$15:$W$15</c:f>
              <c:strCache>
                <c:ptCount val="1"/>
                <c:pt idx="0">
                  <c:v>验证得分</c:v>
                </c:pt>
              </c:strCache>
            </c:strRef>
          </c:tx>
          <c:spPr>
            <a:ln w="22225" cap="rnd">
              <a:solidFill>
                <a:schemeClr val="accent6">
                  <a:lumMod val="50000"/>
                </a:schemeClr>
              </a:solidFill>
              <a:prstDash val="solid"/>
              <a:round/>
            </a:ln>
          </c:spPr>
          <c:marker>
            <c:symbol val="plus"/>
            <c:size val="6"/>
            <c:spPr>
              <a:noFill/>
              <a:ln w="9525">
                <a:solidFill>
                  <a:schemeClr val="accent6">
                    <a:lumMod val="50000"/>
                  </a:schemeClr>
                </a:solidFill>
                <a:prstDash val="solid"/>
                <a:round/>
              </a:ln>
            </c:spPr>
          </c:marker>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1">
                        <a:lumMod val="50000"/>
                        <a:lumOff val="50000"/>
                      </a:schemeClr>
                    </a:solidFill>
                    <a:latin typeface="+mn-lt"/>
                    <a:ea typeface="+mn-ea"/>
                    <a:cs typeface="+mn-cs"/>
                  </a:defRPr>
                </a:pPr>
                <a:endParaRPr lang="zh-CN"/>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验收测试结果!$C$17:$C$24</c:f>
              <c:numCache>
                <c:formatCode>General</c:formatCode>
                <c:ptCount val="8"/>
                <c:pt idx="0">
                  <c:v>1</c:v>
                </c:pt>
                <c:pt idx="1">
                  <c:v>2</c:v>
                </c:pt>
                <c:pt idx="2">
                  <c:v>3</c:v>
                </c:pt>
                <c:pt idx="3">
                  <c:v>4</c:v>
                </c:pt>
                <c:pt idx="4">
                  <c:v>5</c:v>
                </c:pt>
                <c:pt idx="5">
                  <c:v>6</c:v>
                </c:pt>
                <c:pt idx="6">
                  <c:v>7</c:v>
                </c:pt>
                <c:pt idx="7">
                  <c:v>8</c:v>
                </c:pt>
              </c:numCache>
            </c:numRef>
          </c:cat>
          <c:val>
            <c:numRef>
              <c:f>验收测试结果!$W$17:$W$24</c:f>
              <c:numCache>
                <c:formatCode>0.00_);[Red]\(0.00\)</c:formatCode>
                <c:ptCount val="8"/>
                <c:pt idx="0">
                  <c:v>68.257215150604452</c:v>
                </c:pt>
                <c:pt idx="1">
                  <c:v>60.421358486474773</c:v>
                </c:pt>
                <c:pt idx="2">
                  <c:v>61.484869228590306</c:v>
                </c:pt>
                <c:pt idx="3">
                  <c:v>59.517273576097104</c:v>
                </c:pt>
                <c:pt idx="4">
                  <c:v>44.724369747899154</c:v>
                </c:pt>
                <c:pt idx="5">
                  <c:v>51.419249349684137</c:v>
                </c:pt>
                <c:pt idx="6">
                  <c:v>46.693519278096801</c:v>
                </c:pt>
                <c:pt idx="7">
                  <c:v>41.033907574514629</c:v>
                </c:pt>
              </c:numCache>
            </c:numRef>
          </c:val>
          <c:smooth val="0"/>
        </c:ser>
        <c:dLbls>
          <c:showLegendKey val="0"/>
          <c:showVal val="0"/>
          <c:showCatName val="0"/>
          <c:showSerName val="0"/>
          <c:showPercent val="0"/>
          <c:showBubbleSize val="0"/>
        </c:dLbls>
        <c:marker val="1"/>
        <c:smooth val="0"/>
        <c:axId val="-850648896"/>
        <c:axId val="-850653248"/>
      </c:lineChart>
      <c:catAx>
        <c:axId val="-850648896"/>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800" b="0" i="0" strike="noStrike" kern="1200" cap="all" spc="120" normalizeH="0" baseline="0">
                <a:solidFill>
                  <a:schemeClr val="tx1">
                    <a:lumMod val="65000"/>
                    <a:lumOff val="35000"/>
                  </a:schemeClr>
                </a:solidFill>
                <a:latin typeface="微软雅黑" panose="020B0503020204020204" pitchFamily="34" charset="-122"/>
                <a:ea typeface="微软雅黑" panose="020B0503020204020204" pitchFamily="34" charset="-122"/>
                <a:cs typeface="+mn-cs"/>
              </a:defRPr>
            </a:pPr>
            <a:endParaRPr lang="zh-CN"/>
          </a:p>
        </c:txPr>
        <c:crossAx val="-850653248"/>
        <c:crosses val="autoZero"/>
        <c:auto val="1"/>
        <c:lblAlgn val="ctr"/>
        <c:lblOffset val="100"/>
        <c:noMultiLvlLbl val="0"/>
      </c:catAx>
      <c:valAx>
        <c:axId val="-850653248"/>
        <c:scaling>
          <c:orientation val="minMax"/>
        </c:scaling>
        <c:delete val="0"/>
        <c:axPos val="l"/>
        <c:numFmt formatCode="General" sourceLinked="1"/>
        <c:majorTickMark val="none"/>
        <c:minorTickMark val="none"/>
        <c:tickLblPos val="nextTo"/>
        <c:spPr>
          <a:noFill/>
          <a:ln w="9525" cap="flat" cmpd="sng" algn="ctr">
            <a:solidFill>
              <a:schemeClr val="dk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微软雅黑" panose="020B0503020204020204" pitchFamily="34" charset="-122"/>
                <a:ea typeface="微软雅黑" panose="020B0503020204020204" pitchFamily="34" charset="-122"/>
                <a:cs typeface="+mn-cs"/>
              </a:defRPr>
            </a:pPr>
            <a:endParaRPr lang="zh-CN"/>
          </a:p>
        </c:txPr>
        <c:crossAx val="-850648896"/>
        <c:crosses val="autoZero"/>
        <c:crossBetween val="between"/>
      </c:valAx>
    </c:plotArea>
    <c:legend>
      <c:legendPos val="r"/>
      <c:layout>
        <c:manualLayout>
          <c:xMode val="edge"/>
          <c:yMode val="edge"/>
          <c:x val="0.88702590832260475"/>
          <c:y val="0.44640318361804288"/>
          <c:w val="8.7420428083698681E-2"/>
          <c:h val="0.2705325089909022"/>
        </c:manualLayout>
      </c:layout>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微软雅黑" panose="020B0503020204020204" pitchFamily="34" charset="-122"/>
              <a:ea typeface="微软雅黑" panose="020B0503020204020204" pitchFamily="34" charset="-122"/>
              <a:cs typeface="+mn-cs"/>
            </a:defRPr>
          </a:pPr>
          <a:endParaRPr lang="zh-CN"/>
        </a:p>
      </c:txPr>
    </c:legend>
    <c:plotVisOnly val="1"/>
    <c:dispBlanksAs val="gap"/>
    <c:showDLblsOverMax val="1"/>
  </c:chart>
  <c:spPr>
    <a:solidFill>
      <a:schemeClr val="lt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trlProps/ctrlProp1.xml><?xml version="1.0" encoding="utf-8"?>
<formControlPr xmlns="http://schemas.microsoft.com/office/spreadsheetml/2009/9/main" objectType="Button"/>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png"/></Relationships>
</file>

<file path=xl/drawings/_rels/drawing7.x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1</xdr:col>
      <xdr:colOff>14394</xdr:colOff>
      <xdr:row>27</xdr:row>
      <xdr:rowOff>22013</xdr:rowOff>
    </xdr:from>
    <xdr:to>
      <xdr:col>21</xdr:col>
      <xdr:colOff>558800</xdr:colOff>
      <xdr:row>27</xdr:row>
      <xdr:rowOff>1888066</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1</xdr:row>
      <xdr:rowOff>448</xdr:rowOff>
    </xdr:from>
    <xdr:to>
      <xdr:col>5</xdr:col>
      <xdr:colOff>189401</xdr:colOff>
      <xdr:row>20</xdr:row>
      <xdr:rowOff>40761</xdr:rowOff>
    </xdr:to>
    <xdr:pic>
      <xdr:nvPicPr>
        <xdr:cNvPr id="4" name="图片 3"/>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51460"/>
          <a:ext cx="8517613" cy="4791607"/>
        </a:xfrm>
        <a:prstGeom prst="rect">
          <a:avLst/>
        </a:prstGeom>
      </xdr:spPr>
    </xdr:pic>
    <xdr:clientData/>
  </xdr:twoCellAnchor>
  <xdr:twoCellAnchor editAs="oneCell">
    <xdr:from>
      <xdr:col>0</xdr:col>
      <xdr:colOff>0</xdr:colOff>
      <xdr:row>1</xdr:row>
      <xdr:rowOff>448</xdr:rowOff>
    </xdr:from>
    <xdr:to>
      <xdr:col>5</xdr:col>
      <xdr:colOff>189401</xdr:colOff>
      <xdr:row>20</xdr:row>
      <xdr:rowOff>40761</xdr:rowOff>
    </xdr:to>
    <xdr:pic>
      <xdr:nvPicPr>
        <xdr:cNvPr id="2" name="图片 1"/>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51460"/>
          <a:ext cx="8517613" cy="4791607"/>
        </a:xfrm>
        <a:prstGeom prst="rect">
          <a:avLst/>
        </a:prstGeom>
      </xdr:spPr>
    </xdr:pic>
    <xdr:clientData/>
  </xdr:twoCellAnchor>
  <xdr:twoCellAnchor editAs="oneCell">
    <xdr:from>
      <xdr:col>0</xdr:col>
      <xdr:colOff>0</xdr:colOff>
      <xdr:row>1</xdr:row>
      <xdr:rowOff>448</xdr:rowOff>
    </xdr:from>
    <xdr:to>
      <xdr:col>5</xdr:col>
      <xdr:colOff>189401</xdr:colOff>
      <xdr:row>20</xdr:row>
      <xdr:rowOff>40761</xdr:rowOff>
    </xdr:to>
    <xdr:pic>
      <xdr:nvPicPr>
        <xdr:cNvPr id="3" name="图片 2"/>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51460"/>
          <a:ext cx="8517613" cy="4791607"/>
        </a:xfrm>
        <a:prstGeom prst="rect">
          <a:avLst/>
        </a:prstGeom>
      </xdr:spPr>
    </xdr:pic>
    <xdr:clientData/>
  </xdr:twoCellAnchor>
  <xdr:twoCellAnchor editAs="oneCell">
    <xdr:from>
      <xdr:col>0</xdr:col>
      <xdr:colOff>0</xdr:colOff>
      <xdr:row>1</xdr:row>
      <xdr:rowOff>448</xdr:rowOff>
    </xdr:from>
    <xdr:to>
      <xdr:col>5</xdr:col>
      <xdr:colOff>189401</xdr:colOff>
      <xdr:row>20</xdr:row>
      <xdr:rowOff>40761</xdr:rowOff>
    </xdr:to>
    <xdr:pic>
      <xdr:nvPicPr>
        <xdr:cNvPr id="5" name="图片 4"/>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51460"/>
          <a:ext cx="8517613" cy="479160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68580</xdr:rowOff>
        </xdr:from>
        <xdr:to>
          <xdr:col>1</xdr:col>
          <xdr:colOff>815340</xdr:colOff>
          <xdr:row>0</xdr:row>
          <xdr:rowOff>525780</xdr:rowOff>
        </xdr:to>
        <xdr:sp macro="" textlink="">
          <xdr:nvSpPr>
            <xdr:cNvPr id="15361" name="Button 1" hidden="1">
              <a:extLst>
                <a:ext uri="{63B3BB69-23CF-44E3-9099-C40C66FF867C}">
                  <a14:compatExt spid="_x0000_s1536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41148" rIns="36576" bIns="41148" anchor="ctr" upright="1"/>
            <a:lstStyle/>
            <a:p>
              <a:pPr algn="ctr" rtl="0">
                <a:defRPr sz="1000"/>
              </a:pPr>
              <a:r>
                <a:rPr lang="zh-CN" altLang="en-US" sz="1000" b="1" i="0" u="none" strike="noStrike" baseline="0">
                  <a:solidFill>
                    <a:srgbClr val="0000FF"/>
                  </a:solidFill>
                  <a:latin typeface="微软雅黑"/>
                  <a:ea typeface="微软雅黑"/>
                </a:rPr>
                <a:t>单击自动写入当前时间</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22861</xdr:colOff>
      <xdr:row>4</xdr:row>
      <xdr:rowOff>274320</xdr:rowOff>
    </xdr:from>
    <xdr:to>
      <xdr:col>1</xdr:col>
      <xdr:colOff>3357364</xdr:colOff>
      <xdr:row>4</xdr:row>
      <xdr:rowOff>2613660</xdr:rowOff>
    </xdr:to>
    <xdr:pic>
      <xdr:nvPicPr>
        <xdr:cNvPr id="2" name="图片 1"/>
        <xdr:cNvPicPr>
          <a:picLocks noChangeAspect="1"/>
        </xdr:cNvPicPr>
      </xdr:nvPicPr>
      <xdr:blipFill>
        <a:blip xmlns:r="http://schemas.openxmlformats.org/officeDocument/2006/relationships" r:embed="rId1"/>
        <a:stretch>
          <a:fillRect/>
        </a:stretch>
      </xdr:blipFill>
      <xdr:spPr>
        <a:xfrm>
          <a:off x="803910" y="5463540"/>
          <a:ext cx="3334385" cy="2339340"/>
        </a:xfrm>
        <a:prstGeom prst="rect">
          <a:avLst/>
        </a:prstGeom>
        <a:noFill/>
        <a:ln w="9525">
          <a:noFill/>
          <a:prstDash val="solid"/>
        </a:ln>
      </xdr:spPr>
    </xdr:pic>
    <xdr:clientData/>
  </xdr:twoCellAnchor>
  <xdr:twoCellAnchor editAs="oneCell">
    <xdr:from>
      <xdr:col>2</xdr:col>
      <xdr:colOff>83821</xdr:colOff>
      <xdr:row>4</xdr:row>
      <xdr:rowOff>251696</xdr:rowOff>
    </xdr:from>
    <xdr:to>
      <xdr:col>2</xdr:col>
      <xdr:colOff>3373962</xdr:colOff>
      <xdr:row>4</xdr:row>
      <xdr:rowOff>2529840</xdr:rowOff>
    </xdr:to>
    <xdr:pic>
      <xdr:nvPicPr>
        <xdr:cNvPr id="3" name="图片 2"/>
        <xdr:cNvPicPr>
          <a:picLocks noChangeAspect="1"/>
        </xdr:cNvPicPr>
      </xdr:nvPicPr>
      <xdr:blipFill>
        <a:blip xmlns:r="http://schemas.openxmlformats.org/officeDocument/2006/relationships" r:embed="rId1"/>
        <a:stretch>
          <a:fillRect/>
        </a:stretch>
      </xdr:blipFill>
      <xdr:spPr>
        <a:xfrm>
          <a:off x="4598670" y="5440680"/>
          <a:ext cx="3289935" cy="2278380"/>
        </a:xfrm>
        <a:prstGeom prst="rect">
          <a:avLst/>
        </a:prstGeom>
        <a:noFill/>
        <a:ln w="9525">
          <a:noFill/>
          <a:prstDash val="solid"/>
        </a:ln>
      </xdr:spPr>
    </xdr:pic>
    <xdr:clientData/>
  </xdr:twoCellAnchor>
  <xdr:twoCellAnchor editAs="oneCell">
    <xdr:from>
      <xdr:col>2</xdr:col>
      <xdr:colOff>45721</xdr:colOff>
      <xdr:row>3</xdr:row>
      <xdr:rowOff>38100</xdr:rowOff>
    </xdr:from>
    <xdr:to>
      <xdr:col>2</xdr:col>
      <xdr:colOff>3413760</xdr:colOff>
      <xdr:row>3</xdr:row>
      <xdr:rowOff>2214129</xdr:rowOff>
    </xdr:to>
    <xdr:pic>
      <xdr:nvPicPr>
        <xdr:cNvPr id="4" name="图片 3"/>
        <xdr:cNvPicPr>
          <a:picLocks noChangeAspect="1"/>
        </xdr:cNvPicPr>
      </xdr:nvPicPr>
      <xdr:blipFill>
        <a:blip xmlns:r="http://schemas.openxmlformats.org/officeDocument/2006/relationships" r:embed="rId2"/>
        <a:stretch>
          <a:fillRect/>
        </a:stretch>
      </xdr:blipFill>
      <xdr:spPr>
        <a:xfrm>
          <a:off x="4560570" y="2964815"/>
          <a:ext cx="3368040" cy="2175510"/>
        </a:xfrm>
        <a:prstGeom prst="rect">
          <a:avLst/>
        </a:prstGeom>
        <a:noFill/>
        <a:ln w="9525">
          <a:noFill/>
          <a:prstDash val="solid"/>
        </a:ln>
      </xdr:spPr>
    </xdr:pic>
    <xdr:clientData/>
  </xdr:twoCellAnchor>
  <xdr:twoCellAnchor editAs="oneCell">
    <xdr:from>
      <xdr:col>1</xdr:col>
      <xdr:colOff>114300</xdr:colOff>
      <xdr:row>5</xdr:row>
      <xdr:rowOff>114300</xdr:rowOff>
    </xdr:from>
    <xdr:to>
      <xdr:col>1</xdr:col>
      <xdr:colOff>2530708</xdr:colOff>
      <xdr:row>6</xdr:row>
      <xdr:rowOff>2760</xdr:rowOff>
    </xdr:to>
    <xdr:pic>
      <xdr:nvPicPr>
        <xdr:cNvPr id="5" name="图片 4"/>
        <xdr:cNvPicPr>
          <a:picLocks noChangeAspect="1"/>
        </xdr:cNvPicPr>
      </xdr:nvPicPr>
      <xdr:blipFill>
        <a:blip xmlns:r="http://schemas.openxmlformats.org/officeDocument/2006/relationships" r:embed="rId3"/>
        <a:stretch>
          <a:fillRect/>
        </a:stretch>
      </xdr:blipFill>
      <xdr:spPr>
        <a:xfrm>
          <a:off x="895350" y="7940040"/>
          <a:ext cx="2416175" cy="2455545"/>
        </a:xfrm>
        <a:prstGeom prst="rect">
          <a:avLst/>
        </a:prstGeom>
        <a:noFill/>
        <a:ln w="9525">
          <a:noFill/>
          <a:prstDash val="solid"/>
        </a:ln>
      </xdr:spPr>
    </xdr:pic>
    <xdr:clientData/>
  </xdr:twoCellAnchor>
  <xdr:twoCellAnchor editAs="oneCell">
    <xdr:from>
      <xdr:col>1</xdr:col>
      <xdr:colOff>7621</xdr:colOff>
      <xdr:row>2</xdr:row>
      <xdr:rowOff>53340</xdr:rowOff>
    </xdr:from>
    <xdr:to>
      <xdr:col>1</xdr:col>
      <xdr:colOff>3307080</xdr:colOff>
      <xdr:row>2</xdr:row>
      <xdr:rowOff>2388913</xdr:rowOff>
    </xdr:to>
    <xdr:pic>
      <xdr:nvPicPr>
        <xdr:cNvPr id="6" name="图片 5"/>
        <xdr:cNvPicPr>
          <a:picLocks noChangeAspect="1"/>
        </xdr:cNvPicPr>
      </xdr:nvPicPr>
      <xdr:blipFill>
        <a:blip xmlns:r="http://schemas.openxmlformats.org/officeDocument/2006/relationships" r:embed="rId4"/>
        <a:stretch>
          <a:fillRect/>
        </a:stretch>
      </xdr:blipFill>
      <xdr:spPr>
        <a:xfrm>
          <a:off x="788670" y="548640"/>
          <a:ext cx="3299460" cy="2335530"/>
        </a:xfrm>
        <a:prstGeom prst="rect">
          <a:avLst/>
        </a:prstGeom>
        <a:noFill/>
        <a:ln w="9525">
          <a:noFill/>
          <a:prstDash val="solid"/>
        </a:ln>
      </xdr:spPr>
    </xdr:pic>
    <xdr:clientData/>
  </xdr:twoCellAnchor>
  <xdr:twoCellAnchor editAs="oneCell">
    <xdr:from>
      <xdr:col>1</xdr:col>
      <xdr:colOff>15240</xdr:colOff>
      <xdr:row>3</xdr:row>
      <xdr:rowOff>45720</xdr:rowOff>
    </xdr:from>
    <xdr:to>
      <xdr:col>1</xdr:col>
      <xdr:colOff>3338966</xdr:colOff>
      <xdr:row>3</xdr:row>
      <xdr:rowOff>2209800</xdr:rowOff>
    </xdr:to>
    <xdr:pic>
      <xdr:nvPicPr>
        <xdr:cNvPr id="7" name="图片 6"/>
        <xdr:cNvPicPr>
          <a:picLocks noChangeAspect="1"/>
        </xdr:cNvPicPr>
      </xdr:nvPicPr>
      <xdr:blipFill>
        <a:blip xmlns:r="http://schemas.openxmlformats.org/officeDocument/2006/relationships" r:embed="rId4"/>
        <a:stretch>
          <a:fillRect/>
        </a:stretch>
      </xdr:blipFill>
      <xdr:spPr>
        <a:xfrm>
          <a:off x="796290" y="2972435"/>
          <a:ext cx="3323590" cy="2164080"/>
        </a:xfrm>
        <a:prstGeom prst="rect">
          <a:avLst/>
        </a:prstGeom>
        <a:noFill/>
        <a:ln w="9525">
          <a:noFill/>
          <a:prstDash val="solid"/>
        </a:ln>
      </xdr:spPr>
    </xdr:pic>
    <xdr:clientData/>
  </xdr:twoCellAnchor>
  <xdr:twoCellAnchor editAs="oneCell">
    <xdr:from>
      <xdr:col>2</xdr:col>
      <xdr:colOff>45720</xdr:colOff>
      <xdr:row>2</xdr:row>
      <xdr:rowOff>45720</xdr:rowOff>
    </xdr:from>
    <xdr:to>
      <xdr:col>2</xdr:col>
      <xdr:colOff>3467100</xdr:colOff>
      <xdr:row>2</xdr:row>
      <xdr:rowOff>2410856</xdr:rowOff>
    </xdr:to>
    <xdr:pic>
      <xdr:nvPicPr>
        <xdr:cNvPr id="8" name="图片 7"/>
        <xdr:cNvPicPr>
          <a:picLocks noChangeAspect="1"/>
        </xdr:cNvPicPr>
      </xdr:nvPicPr>
      <xdr:blipFill>
        <a:blip xmlns:r="http://schemas.openxmlformats.org/officeDocument/2006/relationships" r:embed="rId5"/>
        <a:stretch>
          <a:fillRect/>
        </a:stretch>
      </xdr:blipFill>
      <xdr:spPr>
        <a:xfrm>
          <a:off x="4560570" y="541020"/>
          <a:ext cx="3421380" cy="2364740"/>
        </a:xfrm>
        <a:prstGeom prst="rect">
          <a:avLst/>
        </a:prstGeom>
        <a:noFill/>
        <a:ln w="9525">
          <a:noFill/>
          <a:prstDash val="solid"/>
        </a:ln>
      </xdr:spPr>
    </xdr:pic>
    <xdr:clientData/>
  </xdr:twoCellAnchor>
  <xdr:twoCellAnchor editAs="oneCell">
    <xdr:from>
      <xdr:col>2</xdr:col>
      <xdr:colOff>190500</xdr:colOff>
      <xdr:row>5</xdr:row>
      <xdr:rowOff>91440</xdr:rowOff>
    </xdr:from>
    <xdr:to>
      <xdr:col>2</xdr:col>
      <xdr:colOff>2354579</xdr:colOff>
      <xdr:row>5</xdr:row>
      <xdr:rowOff>2541820</xdr:rowOff>
    </xdr:to>
    <xdr:pic>
      <xdr:nvPicPr>
        <xdr:cNvPr id="9" name="图片 8"/>
        <xdr:cNvPicPr>
          <a:picLocks noChangeAspect="1"/>
        </xdr:cNvPicPr>
      </xdr:nvPicPr>
      <xdr:blipFill>
        <a:blip xmlns:r="http://schemas.openxmlformats.org/officeDocument/2006/relationships" r:embed="rId6"/>
        <a:stretch>
          <a:fillRect/>
        </a:stretch>
      </xdr:blipFill>
      <xdr:spPr>
        <a:xfrm>
          <a:off x="4705350" y="7917180"/>
          <a:ext cx="2163445" cy="2449830"/>
        </a:xfrm>
        <a:prstGeom prst="rect">
          <a:avLst/>
        </a:prstGeom>
        <a:noFill/>
        <a:ln w="9525">
          <a:noFill/>
          <a:prstDash val="solid"/>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251460</xdr:colOff>
      <xdr:row>5</xdr:row>
      <xdr:rowOff>15240</xdr:rowOff>
    </xdr:from>
    <xdr:to>
      <xdr:col>14</xdr:col>
      <xdr:colOff>247650</xdr:colOff>
      <xdr:row>15</xdr:row>
      <xdr:rowOff>100330</xdr:rowOff>
    </xdr:to>
    <xdr:pic>
      <xdr:nvPicPr>
        <xdr:cNvPr id="5" name="图片 4"/>
        <xdr:cNvPicPr>
          <a:picLocks noChangeAspect="1"/>
        </xdr:cNvPicPr>
      </xdr:nvPicPr>
      <xdr:blipFill>
        <a:blip xmlns:r="http://schemas.openxmlformats.org/officeDocument/2006/relationships" r:embed="rId1"/>
        <a:stretch>
          <a:fillRect/>
        </a:stretch>
      </xdr:blipFill>
      <xdr:spPr>
        <a:xfrm>
          <a:off x="4699635" y="1141730"/>
          <a:ext cx="3882390" cy="1923415"/>
        </a:xfrm>
        <a:prstGeom prst="rect">
          <a:avLst/>
        </a:prstGeom>
        <a:noFill/>
        <a:ln w="9525">
          <a:noFill/>
          <a:prstDash val="solid"/>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251460</xdr:colOff>
      <xdr:row>5</xdr:row>
      <xdr:rowOff>15240</xdr:rowOff>
    </xdr:from>
    <xdr:to>
      <xdr:col>14</xdr:col>
      <xdr:colOff>247650</xdr:colOff>
      <xdr:row>15</xdr:row>
      <xdr:rowOff>100330</xdr:rowOff>
    </xdr:to>
    <xdr:pic>
      <xdr:nvPicPr>
        <xdr:cNvPr id="2" name="图片 1"/>
        <xdr:cNvPicPr>
          <a:picLocks noChangeAspect="1"/>
        </xdr:cNvPicPr>
      </xdr:nvPicPr>
      <xdr:blipFill>
        <a:blip xmlns:r="http://schemas.openxmlformats.org/officeDocument/2006/relationships" r:embed="rId1"/>
        <a:stretch>
          <a:fillRect/>
        </a:stretch>
      </xdr:blipFill>
      <xdr:spPr>
        <a:xfrm>
          <a:off x="4699635" y="1141730"/>
          <a:ext cx="3844290" cy="1923415"/>
        </a:xfrm>
        <a:prstGeom prst="rect">
          <a:avLst/>
        </a:prstGeom>
        <a:noFill/>
        <a:ln w="9525">
          <a:noFill/>
          <a:prstDash val="solid"/>
        </a:ln>
      </xdr:spPr>
    </xdr:pic>
    <xdr:clientData/>
  </xdr:twoCellAnchor>
  <xdr:twoCellAnchor editAs="oneCell">
    <xdr:from>
      <xdr:col>8</xdr:col>
      <xdr:colOff>251460</xdr:colOff>
      <xdr:row>5</xdr:row>
      <xdr:rowOff>15240</xdr:rowOff>
    </xdr:from>
    <xdr:to>
      <xdr:col>14</xdr:col>
      <xdr:colOff>278130</xdr:colOff>
      <xdr:row>23</xdr:row>
      <xdr:rowOff>80010</xdr:rowOff>
    </xdr:to>
    <xdr:pic>
      <xdr:nvPicPr>
        <xdr:cNvPr id="3" name="图片 2"/>
        <xdr:cNvPicPr>
          <a:picLocks noChangeAspect="1"/>
        </xdr:cNvPicPr>
      </xdr:nvPicPr>
      <xdr:blipFill>
        <a:blip xmlns:r="http://schemas.openxmlformats.org/officeDocument/2006/relationships" r:embed="rId2"/>
        <a:stretch>
          <a:fillRect/>
        </a:stretch>
      </xdr:blipFill>
      <xdr:spPr>
        <a:xfrm>
          <a:off x="4699635" y="1141730"/>
          <a:ext cx="3874770" cy="3350895"/>
        </a:xfrm>
        <a:prstGeom prst="rect">
          <a:avLst/>
        </a:prstGeom>
        <a:noFill/>
        <a:ln w="9525">
          <a:noFill/>
          <a:prstDash val="solid"/>
        </a:ln>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8</xdr:col>
      <xdr:colOff>228600</xdr:colOff>
      <xdr:row>4</xdr:row>
      <xdr:rowOff>160020</xdr:rowOff>
    </xdr:from>
    <xdr:to>
      <xdr:col>14</xdr:col>
      <xdr:colOff>255270</xdr:colOff>
      <xdr:row>23</xdr:row>
      <xdr:rowOff>49530</xdr:rowOff>
    </xdr:to>
    <xdr:pic>
      <xdr:nvPicPr>
        <xdr:cNvPr id="4" name="图片 3"/>
        <xdr:cNvPicPr>
          <a:picLocks noChangeAspect="1"/>
        </xdr:cNvPicPr>
      </xdr:nvPicPr>
      <xdr:blipFill>
        <a:blip xmlns:r="http://schemas.openxmlformats.org/officeDocument/2006/relationships" r:embed="rId1"/>
        <a:stretch>
          <a:fillRect/>
        </a:stretch>
      </xdr:blipFill>
      <xdr:spPr>
        <a:xfrm>
          <a:off x="4676775" y="1096010"/>
          <a:ext cx="3874770" cy="3366135"/>
        </a:xfrm>
        <a:prstGeom prst="rect">
          <a:avLst/>
        </a:prstGeom>
        <a:noFill/>
        <a:ln w="9525">
          <a:noFill/>
          <a:prstDash val="solid"/>
        </a:ln>
      </xdr:spPr>
    </xdr:pic>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3.xml"/><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92D050"/>
  </sheetPr>
  <dimension ref="A1:X47"/>
  <sheetViews>
    <sheetView showGridLines="0" tabSelected="1" showRuler="0" topLeftCell="A11" zoomScaleNormal="100" zoomScalePageLayoutView="112" workbookViewId="0">
      <selection activeCell="E7" sqref="E7:W7"/>
    </sheetView>
  </sheetViews>
  <sheetFormatPr defaultColWidth="9" defaultRowHeight="15.6"/>
  <cols>
    <col min="1" max="1" width="1.77734375" style="41" customWidth="1"/>
    <col min="2" max="2" width="4.77734375" style="41" customWidth="1"/>
    <col min="3" max="3" width="5.33203125" style="41" customWidth="1"/>
    <col min="4" max="4" width="6.77734375" style="41" customWidth="1"/>
    <col min="5" max="5" width="7.33203125" style="41" customWidth="1"/>
    <col min="6" max="6" width="6.109375" style="41" customWidth="1"/>
    <col min="7" max="7" width="6.44140625" style="41" bestFit="1" customWidth="1"/>
    <col min="8" max="8" width="6.88671875" style="41" bestFit="1" customWidth="1"/>
    <col min="9" max="9" width="5" style="41" customWidth="1"/>
    <col min="10" max="10" width="5.6640625" style="41" customWidth="1"/>
    <col min="11" max="11" width="6.44140625" style="41" bestFit="1" customWidth="1"/>
    <col min="12" max="12" width="5.77734375" style="41" customWidth="1"/>
    <col min="13" max="13" width="6.6640625" style="41" customWidth="1"/>
    <col min="14" max="15" width="6.88671875" style="41" bestFit="1" customWidth="1"/>
    <col min="16" max="16" width="7.33203125" style="41" bestFit="1" customWidth="1"/>
    <col min="17" max="17" width="6.21875" style="41" customWidth="1"/>
    <col min="18" max="18" width="6.44140625" style="41" customWidth="1"/>
    <col min="19" max="19" width="7.21875" style="41" customWidth="1"/>
    <col min="20" max="21" width="8.21875" style="41" bestFit="1" customWidth="1"/>
    <col min="22" max="22" width="7.77734375" style="41" customWidth="1"/>
    <col min="23" max="23" width="7.21875" style="41" customWidth="1"/>
    <col min="24" max="24" width="9" style="41" customWidth="1"/>
    <col min="25" max="16384" width="9" style="41"/>
  </cols>
  <sheetData>
    <row r="1" spans="1:24" ht="63" customHeight="1">
      <c r="A1" s="145" t="str">
        <f>D2&amp;"_"&amp;H2&amp;CHAR(10)&amp;
"验收测试报告"</f>
        <v>XD-PD23-2509_Veridos入境自助登记机
验收测试报告</v>
      </c>
      <c r="B1" s="113"/>
      <c r="C1" s="113"/>
      <c r="D1" s="113"/>
      <c r="E1" s="113"/>
      <c r="F1" s="113"/>
      <c r="G1" s="113"/>
      <c r="H1" s="113"/>
      <c r="I1" s="113"/>
      <c r="J1" s="113"/>
      <c r="K1" s="113"/>
      <c r="L1" s="113"/>
      <c r="M1" s="113"/>
      <c r="N1" s="113"/>
      <c r="O1" s="113"/>
      <c r="P1" s="113"/>
      <c r="Q1" s="113"/>
      <c r="R1" s="113"/>
      <c r="S1" s="113"/>
      <c r="T1" s="113"/>
      <c r="U1" s="113"/>
      <c r="V1" s="113"/>
      <c r="W1" s="114"/>
    </row>
    <row r="2" spans="1:24" s="40" customFormat="1" ht="17.399999999999999">
      <c r="A2" s="139" t="s">
        <v>0</v>
      </c>
      <c r="B2" s="113"/>
      <c r="C2" s="114"/>
      <c r="D2" s="131" t="s">
        <v>1561</v>
      </c>
      <c r="E2" s="114"/>
      <c r="F2" s="139" t="s">
        <v>1</v>
      </c>
      <c r="G2" s="114"/>
      <c r="H2" s="131" t="s">
        <v>1562</v>
      </c>
      <c r="I2" s="113"/>
      <c r="J2" s="113"/>
      <c r="K2" s="113"/>
      <c r="L2" s="114"/>
      <c r="M2" s="139" t="s">
        <v>2</v>
      </c>
      <c r="N2" s="114"/>
      <c r="O2" s="131" t="s">
        <v>3</v>
      </c>
      <c r="P2" s="113"/>
      <c r="Q2" s="113"/>
      <c r="R2" s="114"/>
      <c r="S2" s="139" t="s">
        <v>4</v>
      </c>
      <c r="T2" s="114"/>
      <c r="U2" s="151" t="s">
        <v>1560</v>
      </c>
      <c r="V2" s="113"/>
      <c r="W2" s="114"/>
    </row>
    <row r="3" spans="1:24" s="40" customFormat="1" ht="17.399999999999999">
      <c r="A3" s="139" t="s">
        <v>5</v>
      </c>
      <c r="B3" s="113"/>
      <c r="C3" s="114"/>
      <c r="D3" s="131" t="s">
        <v>1563</v>
      </c>
      <c r="E3" s="114"/>
      <c r="F3" s="158" t="s">
        <v>6</v>
      </c>
      <c r="G3" s="114"/>
      <c r="H3" s="137" t="s">
        <v>1564</v>
      </c>
      <c r="I3" s="113"/>
      <c r="J3" s="113"/>
      <c r="K3" s="113"/>
      <c r="L3" s="114"/>
      <c r="M3" s="139" t="s">
        <v>7</v>
      </c>
      <c r="N3" s="114"/>
      <c r="O3" s="144"/>
      <c r="P3" s="113"/>
      <c r="Q3" s="113"/>
      <c r="R3" s="114"/>
      <c r="S3" s="139" t="s">
        <v>8</v>
      </c>
      <c r="T3" s="114"/>
      <c r="U3" s="131" t="s">
        <v>1565</v>
      </c>
      <c r="V3" s="113"/>
      <c r="W3" s="114"/>
    </row>
    <row r="4" spans="1:24" s="40" customFormat="1" ht="17.399999999999999">
      <c r="A4" s="139" t="s">
        <v>9</v>
      </c>
      <c r="B4" s="113"/>
      <c r="C4" s="114"/>
      <c r="D4" s="131" t="s">
        <v>3</v>
      </c>
      <c r="E4" s="114"/>
      <c r="F4" s="139" t="s">
        <v>10</v>
      </c>
      <c r="G4" s="114"/>
      <c r="H4" s="144" t="s">
        <v>3</v>
      </c>
      <c r="I4" s="113"/>
      <c r="J4" s="113"/>
      <c r="K4" s="113"/>
      <c r="L4" s="114"/>
      <c r="M4" s="139" t="s">
        <v>11</v>
      </c>
      <c r="N4" s="114"/>
      <c r="O4" s="144" t="s">
        <v>3</v>
      </c>
      <c r="P4" s="113"/>
      <c r="Q4" s="113"/>
      <c r="R4" s="114"/>
      <c r="S4" s="139" t="s">
        <v>12</v>
      </c>
      <c r="T4" s="114"/>
      <c r="U4" s="151" t="s">
        <v>1566</v>
      </c>
      <c r="V4" s="113"/>
      <c r="W4" s="114"/>
    </row>
    <row r="5" spans="1:24" ht="18" customHeight="1">
      <c r="A5" s="156" t="s">
        <v>13</v>
      </c>
      <c r="B5" s="155"/>
      <c r="C5" s="155"/>
      <c r="D5" s="155"/>
      <c r="E5" s="155"/>
      <c r="F5" s="155"/>
      <c r="G5" s="155"/>
      <c r="H5" s="155"/>
      <c r="I5" s="155"/>
      <c r="J5" s="155"/>
      <c r="K5" s="155"/>
      <c r="L5" s="155"/>
      <c r="M5" s="155"/>
      <c r="N5" s="155"/>
      <c r="O5" s="155"/>
      <c r="P5" s="155"/>
      <c r="Q5" s="155"/>
      <c r="R5" s="155"/>
      <c r="S5" s="155"/>
      <c r="T5" s="155"/>
      <c r="U5" s="155"/>
      <c r="V5" s="155"/>
      <c r="W5" s="133"/>
    </row>
    <row r="6" spans="1:24" ht="18" customHeight="1">
      <c r="A6" s="134" t="s">
        <v>14</v>
      </c>
      <c r="B6" s="116"/>
      <c r="C6" s="116"/>
      <c r="D6" s="116"/>
      <c r="E6" s="119" t="s">
        <v>3</v>
      </c>
      <c r="F6" s="116"/>
      <c r="G6" s="116"/>
      <c r="H6" s="116"/>
      <c r="I6" s="116"/>
      <c r="J6" s="116"/>
      <c r="K6" s="116"/>
      <c r="L6" s="116"/>
      <c r="M6" s="116"/>
      <c r="N6" s="116"/>
      <c r="O6" s="116"/>
      <c r="P6" s="116"/>
      <c r="Q6" s="116"/>
      <c r="R6" s="116"/>
      <c r="S6" s="116"/>
      <c r="T6" s="116"/>
      <c r="U6" s="116"/>
      <c r="V6" s="116"/>
      <c r="W6" s="120"/>
    </row>
    <row r="7" spans="1:24" ht="27.45" customHeight="1">
      <c r="A7" s="134" t="s">
        <v>15</v>
      </c>
      <c r="B7" s="116"/>
      <c r="C7" s="116"/>
      <c r="D7" s="116"/>
      <c r="E7" s="119" t="s">
        <v>3</v>
      </c>
      <c r="F7" s="116"/>
      <c r="G7" s="116"/>
      <c r="H7" s="116"/>
      <c r="I7" s="116"/>
      <c r="J7" s="116"/>
      <c r="K7" s="116"/>
      <c r="L7" s="116"/>
      <c r="M7" s="116"/>
      <c r="N7" s="116"/>
      <c r="O7" s="116"/>
      <c r="P7" s="116"/>
      <c r="Q7" s="116"/>
      <c r="R7" s="116"/>
      <c r="S7" s="116"/>
      <c r="T7" s="116"/>
      <c r="U7" s="116"/>
      <c r="V7" s="116"/>
      <c r="W7" s="120"/>
    </row>
    <row r="8" spans="1:24" ht="24" customHeight="1">
      <c r="A8" s="138" t="s">
        <v>16</v>
      </c>
      <c r="B8" s="116"/>
      <c r="C8" s="116"/>
      <c r="D8" s="116"/>
      <c r="E8" s="116"/>
      <c r="F8" s="116"/>
      <c r="G8" s="116"/>
      <c r="H8" s="116"/>
      <c r="I8" s="116"/>
      <c r="J8" s="116"/>
      <c r="K8" s="116"/>
      <c r="L8" s="116"/>
      <c r="M8" s="116"/>
      <c r="N8" s="116"/>
      <c r="O8" s="116"/>
      <c r="P8" s="116"/>
      <c r="Q8" s="116"/>
      <c r="R8" s="116"/>
      <c r="S8" s="116"/>
      <c r="T8" s="116"/>
      <c r="U8" s="116"/>
      <c r="V8" s="116"/>
      <c r="W8" s="120"/>
    </row>
    <row r="9" spans="1:24" ht="24" customHeight="1">
      <c r="A9" s="87"/>
      <c r="B9" s="136" t="s">
        <v>17</v>
      </c>
      <c r="C9" s="113"/>
      <c r="D9" s="113"/>
      <c r="E9" s="113"/>
      <c r="F9" s="113"/>
      <c r="G9" s="113"/>
      <c r="H9" s="113"/>
      <c r="I9" s="113"/>
      <c r="J9" s="113"/>
      <c r="K9" s="113"/>
      <c r="L9" s="113"/>
      <c r="M9" s="113"/>
      <c r="N9" s="113"/>
      <c r="O9" s="113"/>
      <c r="P9" s="113"/>
      <c r="Q9" s="113"/>
      <c r="R9" s="114"/>
      <c r="S9" s="136" t="s">
        <v>18</v>
      </c>
      <c r="T9" s="114"/>
      <c r="U9" s="136" t="s">
        <v>19</v>
      </c>
      <c r="V9" s="114"/>
      <c r="W9" s="74"/>
    </row>
    <row r="10" spans="1:24" ht="21.75" customHeight="1">
      <c r="A10" s="87"/>
      <c r="B10" s="135" t="s">
        <v>20</v>
      </c>
      <c r="C10" s="113"/>
      <c r="D10" s="113"/>
      <c r="E10" s="113"/>
      <c r="F10" s="113"/>
      <c r="G10" s="113"/>
      <c r="H10" s="113"/>
      <c r="I10" s="113"/>
      <c r="J10" s="113"/>
      <c r="K10" s="113"/>
      <c r="L10" s="113"/>
      <c r="M10" s="113"/>
      <c r="N10" s="113"/>
      <c r="O10" s="113"/>
      <c r="P10" s="113"/>
      <c r="Q10" s="113"/>
      <c r="R10" s="114"/>
      <c r="S10" s="132">
        <f>COUNTA(B17:B97)-12</f>
        <v>8</v>
      </c>
      <c r="T10" s="133"/>
      <c r="U10" s="150">
        <f>AVERAGE(W17:W24)</f>
        <v>54.193970298995168</v>
      </c>
      <c r="V10" s="133"/>
      <c r="W10" s="74"/>
    </row>
    <row r="11" spans="1:24" ht="244.5" customHeight="1">
      <c r="A11" s="87"/>
      <c r="B11" s="112" t="s">
        <v>21</v>
      </c>
      <c r="C11" s="113"/>
      <c r="D11" s="113"/>
      <c r="E11" s="113"/>
      <c r="F11" s="113"/>
      <c r="G11" s="113"/>
      <c r="H11" s="113"/>
      <c r="I11" s="113"/>
      <c r="J11" s="113"/>
      <c r="K11" s="113"/>
      <c r="L11" s="113"/>
      <c r="M11" s="113"/>
      <c r="N11" s="113"/>
      <c r="O11" s="113"/>
      <c r="P11" s="113"/>
      <c r="Q11" s="113"/>
      <c r="R11" s="113"/>
      <c r="S11" s="113"/>
      <c r="T11" s="113"/>
      <c r="U11" s="113"/>
      <c r="V11" s="114"/>
      <c r="W11" s="74"/>
    </row>
    <row r="12" spans="1:24" ht="14.25" customHeight="1">
      <c r="A12" s="153"/>
      <c r="B12" s="116"/>
      <c r="C12" s="116"/>
      <c r="D12" s="116"/>
      <c r="E12" s="116"/>
      <c r="F12" s="116"/>
      <c r="G12" s="116"/>
      <c r="H12" s="116"/>
      <c r="I12" s="116"/>
      <c r="J12" s="116"/>
      <c r="K12" s="116"/>
      <c r="L12" s="116"/>
      <c r="M12" s="116"/>
      <c r="N12" s="116"/>
      <c r="O12" s="116"/>
      <c r="P12" s="116"/>
      <c r="Q12" s="116"/>
      <c r="R12" s="116"/>
      <c r="S12" s="116"/>
      <c r="T12" s="116"/>
      <c r="U12" s="116"/>
      <c r="V12" s="116"/>
      <c r="W12" s="74"/>
    </row>
    <row r="13" spans="1:24" ht="30.6" customHeight="1">
      <c r="A13" s="124" t="s">
        <v>22</v>
      </c>
      <c r="B13" s="116"/>
      <c r="C13" s="116"/>
      <c r="D13" s="116"/>
      <c r="E13" s="116"/>
      <c r="F13" s="116"/>
      <c r="G13" s="116"/>
      <c r="H13" s="116"/>
      <c r="I13" s="116"/>
      <c r="J13" s="116"/>
      <c r="K13" s="116"/>
      <c r="L13" s="116"/>
      <c r="M13" s="116"/>
      <c r="N13" s="116"/>
      <c r="O13" s="116"/>
      <c r="P13" s="116"/>
      <c r="Q13" s="116"/>
      <c r="R13" s="116"/>
      <c r="S13" s="116"/>
      <c r="T13" s="116"/>
      <c r="U13" s="116"/>
      <c r="V13" s="116"/>
      <c r="W13" s="74"/>
    </row>
    <row r="14" spans="1:24" ht="19.95" customHeight="1">
      <c r="A14" s="93"/>
      <c r="B14" s="128" t="s">
        <v>23</v>
      </c>
      <c r="C14" s="129"/>
      <c r="D14" s="129"/>
      <c r="E14" s="129"/>
      <c r="F14" s="129"/>
      <c r="G14" s="129"/>
      <c r="H14" s="129"/>
      <c r="I14" s="129"/>
      <c r="J14" s="129"/>
      <c r="K14" s="129"/>
      <c r="L14" s="129"/>
      <c r="M14" s="129"/>
      <c r="N14" s="129"/>
      <c r="O14" s="129"/>
      <c r="P14" s="129"/>
      <c r="Q14" s="129"/>
      <c r="R14" s="129"/>
      <c r="S14" s="129"/>
      <c r="T14" s="129"/>
      <c r="U14" s="129"/>
      <c r="V14" s="129"/>
      <c r="W14" s="130"/>
    </row>
    <row r="15" spans="1:24">
      <c r="A15" s="75"/>
      <c r="B15" s="125" t="s">
        <v>24</v>
      </c>
      <c r="C15" s="125" t="s">
        <v>25</v>
      </c>
      <c r="D15" s="125" t="s">
        <v>26</v>
      </c>
      <c r="E15" s="125" t="s">
        <v>27</v>
      </c>
      <c r="F15" s="125" t="s">
        <v>28</v>
      </c>
      <c r="G15" s="121" t="s">
        <v>29</v>
      </c>
      <c r="H15" s="122"/>
      <c r="I15" s="123"/>
      <c r="J15" s="121" t="s">
        <v>30</v>
      </c>
      <c r="K15" s="122"/>
      <c r="L15" s="122"/>
      <c r="M15" s="123"/>
      <c r="N15" s="121" t="s">
        <v>31</v>
      </c>
      <c r="O15" s="122"/>
      <c r="P15" s="122"/>
      <c r="Q15" s="122"/>
      <c r="R15" s="122"/>
      <c r="S15" s="123"/>
      <c r="T15" s="152" t="s">
        <v>32</v>
      </c>
      <c r="U15" s="122"/>
      <c r="V15" s="123"/>
      <c r="W15" s="141" t="s">
        <v>33</v>
      </c>
      <c r="X15" s="75"/>
    </row>
    <row r="16" spans="1:24" ht="35.25" customHeight="1">
      <c r="A16" s="75"/>
      <c r="B16" s="126"/>
      <c r="C16" s="126"/>
      <c r="D16" s="126"/>
      <c r="E16" s="126"/>
      <c r="F16" s="126"/>
      <c r="G16" s="82" t="s">
        <v>34</v>
      </c>
      <c r="H16" s="82" t="s">
        <v>35</v>
      </c>
      <c r="I16" s="83" t="s">
        <v>36</v>
      </c>
      <c r="J16" s="83" t="s">
        <v>37</v>
      </c>
      <c r="K16" s="83" t="s">
        <v>38</v>
      </c>
      <c r="L16" s="83" t="s">
        <v>35</v>
      </c>
      <c r="M16" s="83" t="s">
        <v>36</v>
      </c>
      <c r="N16" s="82" t="s">
        <v>39</v>
      </c>
      <c r="O16" s="82" t="s">
        <v>40</v>
      </c>
      <c r="P16" s="82" t="s">
        <v>41</v>
      </c>
      <c r="Q16" s="82" t="s">
        <v>42</v>
      </c>
      <c r="R16" s="82" t="s">
        <v>43</v>
      </c>
      <c r="S16" s="82" t="s">
        <v>44</v>
      </c>
      <c r="T16" s="95" t="s">
        <v>45</v>
      </c>
      <c r="U16" s="95" t="s">
        <v>46</v>
      </c>
      <c r="V16" s="95" t="s">
        <v>47</v>
      </c>
      <c r="W16" s="126"/>
      <c r="X16" s="75"/>
    </row>
    <row r="17" spans="1:24" ht="30">
      <c r="A17" s="75"/>
      <c r="B17" s="86">
        <v>1</v>
      </c>
      <c r="C17" s="79">
        <v>1</v>
      </c>
      <c r="D17" s="79"/>
      <c r="E17" s="86">
        <f>IFERROR(IF((B17-B15=0),(100-(C17-1)*10),100),100)</f>
        <v>100</v>
      </c>
      <c r="F17" s="42" t="str">
        <f t="shared" ref="F17:F24" si="0">IF(OR(I17&lt;100%,M17&lt;100%),"不通过","通过")</f>
        <v>不通过</v>
      </c>
      <c r="G17" s="86">
        <v>89</v>
      </c>
      <c r="H17" s="86">
        <v>67</v>
      </c>
      <c r="I17" s="80">
        <f t="shared" ref="I17:I24" si="1">IFERROR(H17/G17,1)</f>
        <v>0.7528089887640449</v>
      </c>
      <c r="J17" s="86">
        <v>122</v>
      </c>
      <c r="K17" s="86"/>
      <c r="L17" s="86">
        <v>86</v>
      </c>
      <c r="M17" s="80">
        <f t="shared" ref="M17:M24" si="2">L17/J17</f>
        <v>0.70491803278688525</v>
      </c>
      <c r="N17" s="81">
        <f t="shared" ref="N17:N24" si="3">SUM(O17:R17)</f>
        <v>38</v>
      </c>
      <c r="O17" s="86">
        <v>0</v>
      </c>
      <c r="P17" s="86">
        <v>7</v>
      </c>
      <c r="Q17" s="86">
        <v>22</v>
      </c>
      <c r="R17" s="86">
        <v>9</v>
      </c>
      <c r="S17" s="86">
        <v>20</v>
      </c>
      <c r="T17" s="96">
        <f t="shared" ref="T17:T24" si="4">I17*0.2*E17</f>
        <v>15.056179775280897</v>
      </c>
      <c r="U17" s="96">
        <f t="shared" ref="U17:U24" si="5">M17*0.8*E17</f>
        <v>56.393442622950815</v>
      </c>
      <c r="V17" s="97">
        <f t="shared" ref="V17:V24" si="6">IFERROR((O17/N17*40+P17/N17*30+Q17/N17*20+R17/N17*10)*(S17/J17),0)</f>
        <v>3.1924072476272647</v>
      </c>
      <c r="W17" s="98">
        <f t="shared" ref="W17:W24" si="7">T17+U17-V17</f>
        <v>68.257215150604452</v>
      </c>
      <c r="X17" s="75"/>
    </row>
    <row r="18" spans="1:24" ht="30">
      <c r="A18" s="75"/>
      <c r="B18" s="86">
        <v>1</v>
      </c>
      <c r="C18" s="86">
        <v>2</v>
      </c>
      <c r="D18" s="86"/>
      <c r="E18" s="86">
        <f t="shared" ref="E18:E24" si="8">IF((B18-B17=0),(E17-10),100)</f>
        <v>90</v>
      </c>
      <c r="F18" s="42" t="str">
        <f t="shared" si="0"/>
        <v>不通过</v>
      </c>
      <c r="G18" s="86">
        <v>110</v>
      </c>
      <c r="H18" s="86">
        <v>78</v>
      </c>
      <c r="I18" s="80">
        <f t="shared" si="1"/>
        <v>0.70909090909090911</v>
      </c>
      <c r="J18" s="86">
        <v>258</v>
      </c>
      <c r="K18" s="86"/>
      <c r="L18" s="86">
        <v>179</v>
      </c>
      <c r="M18" s="80">
        <f t="shared" si="2"/>
        <v>0.69379844961240311</v>
      </c>
      <c r="N18" s="81">
        <f t="shared" si="3"/>
        <v>78</v>
      </c>
      <c r="O18" s="86">
        <v>0</v>
      </c>
      <c r="P18" s="86">
        <v>17</v>
      </c>
      <c r="Q18" s="86">
        <v>42</v>
      </c>
      <c r="R18" s="86">
        <v>19</v>
      </c>
      <c r="S18" s="86">
        <v>30</v>
      </c>
      <c r="T18" s="96">
        <f t="shared" si="4"/>
        <v>12.763636363636364</v>
      </c>
      <c r="U18" s="96">
        <f t="shared" si="5"/>
        <v>49.953488372093027</v>
      </c>
      <c r="V18" s="97">
        <f t="shared" si="6"/>
        <v>2.2957662492546209</v>
      </c>
      <c r="W18" s="98">
        <f t="shared" si="7"/>
        <v>60.421358486474773</v>
      </c>
      <c r="X18" s="75"/>
    </row>
    <row r="19" spans="1:24" ht="30">
      <c r="A19" s="75"/>
      <c r="B19" s="86">
        <v>2</v>
      </c>
      <c r="C19" s="86">
        <v>3</v>
      </c>
      <c r="D19" s="86"/>
      <c r="E19" s="86">
        <f t="shared" si="8"/>
        <v>100</v>
      </c>
      <c r="F19" s="42" t="str">
        <f t="shared" si="0"/>
        <v>不通过</v>
      </c>
      <c r="G19" s="86">
        <v>112</v>
      </c>
      <c r="H19" s="86">
        <v>93</v>
      </c>
      <c r="I19" s="80">
        <f t="shared" si="1"/>
        <v>0.8303571428571429</v>
      </c>
      <c r="J19" s="86">
        <v>89</v>
      </c>
      <c r="K19" s="86"/>
      <c r="L19" s="86">
        <v>55</v>
      </c>
      <c r="M19" s="80">
        <f t="shared" si="2"/>
        <v>0.6179775280898876</v>
      </c>
      <c r="N19" s="81">
        <f t="shared" si="3"/>
        <v>34</v>
      </c>
      <c r="O19" s="86">
        <v>0</v>
      </c>
      <c r="P19" s="86">
        <v>10</v>
      </c>
      <c r="Q19" s="86">
        <v>15</v>
      </c>
      <c r="R19" s="86">
        <v>9</v>
      </c>
      <c r="S19" s="86">
        <v>20</v>
      </c>
      <c r="T19" s="96">
        <f t="shared" si="4"/>
        <v>16.607142857142858</v>
      </c>
      <c r="U19" s="96">
        <f t="shared" si="5"/>
        <v>49.438202247191008</v>
      </c>
      <c r="V19" s="97">
        <f t="shared" si="6"/>
        <v>4.5604758757435562</v>
      </c>
      <c r="W19" s="98">
        <f t="shared" si="7"/>
        <v>61.484869228590306</v>
      </c>
      <c r="X19" s="75"/>
    </row>
    <row r="20" spans="1:24" ht="30">
      <c r="A20" s="75"/>
      <c r="B20" s="86">
        <v>2</v>
      </c>
      <c r="C20" s="86">
        <v>4</v>
      </c>
      <c r="D20" s="86"/>
      <c r="E20" s="86">
        <f t="shared" si="8"/>
        <v>90</v>
      </c>
      <c r="F20" s="42" t="str">
        <f t="shared" si="0"/>
        <v>不通过</v>
      </c>
      <c r="G20" s="86">
        <v>119</v>
      </c>
      <c r="H20" s="86">
        <v>105</v>
      </c>
      <c r="I20" s="80">
        <f t="shared" si="1"/>
        <v>0.88235294117647056</v>
      </c>
      <c r="J20" s="86">
        <v>84</v>
      </c>
      <c r="K20" s="86"/>
      <c r="L20" s="86">
        <v>56</v>
      </c>
      <c r="M20" s="80">
        <f t="shared" si="2"/>
        <v>0.66666666666666663</v>
      </c>
      <c r="N20" s="81">
        <f t="shared" si="3"/>
        <v>48</v>
      </c>
      <c r="O20" s="86">
        <v>0</v>
      </c>
      <c r="P20" s="86">
        <v>5</v>
      </c>
      <c r="Q20" s="86">
        <v>30</v>
      </c>
      <c r="R20" s="86">
        <v>13</v>
      </c>
      <c r="S20" s="86">
        <v>20</v>
      </c>
      <c r="T20" s="96">
        <f t="shared" si="4"/>
        <v>15.882352941176471</v>
      </c>
      <c r="U20" s="96">
        <f t="shared" si="5"/>
        <v>48</v>
      </c>
      <c r="V20" s="97">
        <f t="shared" si="6"/>
        <v>4.3650793650793647</v>
      </c>
      <c r="W20" s="98">
        <f t="shared" si="7"/>
        <v>59.517273576097104</v>
      </c>
      <c r="X20" s="75"/>
    </row>
    <row r="21" spans="1:24" ht="30">
      <c r="A21" s="75"/>
      <c r="B21" s="92">
        <v>2</v>
      </c>
      <c r="C21" s="79">
        <v>5</v>
      </c>
      <c r="D21" s="79"/>
      <c r="E21" s="86">
        <f t="shared" si="8"/>
        <v>80</v>
      </c>
      <c r="F21" s="42" t="str">
        <f t="shared" si="0"/>
        <v>不通过</v>
      </c>
      <c r="G21" s="88">
        <v>119</v>
      </c>
      <c r="H21" s="42">
        <v>111</v>
      </c>
      <c r="I21" s="80">
        <f t="shared" si="1"/>
        <v>0.9327731092436975</v>
      </c>
      <c r="J21" s="89">
        <v>50</v>
      </c>
      <c r="K21" s="89"/>
      <c r="L21" s="89">
        <v>30</v>
      </c>
      <c r="M21" s="80">
        <f t="shared" si="2"/>
        <v>0.6</v>
      </c>
      <c r="N21" s="81">
        <f t="shared" si="3"/>
        <v>21</v>
      </c>
      <c r="O21" s="90">
        <v>0</v>
      </c>
      <c r="P21" s="90">
        <v>6</v>
      </c>
      <c r="Q21" s="90">
        <v>10</v>
      </c>
      <c r="R21" s="90">
        <v>5</v>
      </c>
      <c r="S21" s="90">
        <v>21</v>
      </c>
      <c r="T21" s="96">
        <f t="shared" si="4"/>
        <v>14.92436974789916</v>
      </c>
      <c r="U21" s="96">
        <f t="shared" si="5"/>
        <v>38.4</v>
      </c>
      <c r="V21" s="97">
        <f t="shared" si="6"/>
        <v>8.6</v>
      </c>
      <c r="W21" s="98">
        <f t="shared" si="7"/>
        <v>44.724369747899154</v>
      </c>
      <c r="X21" s="75"/>
    </row>
    <row r="22" spans="1:24" ht="30">
      <c r="A22" s="75"/>
      <c r="B22" s="92">
        <v>2</v>
      </c>
      <c r="C22" s="86">
        <v>6</v>
      </c>
      <c r="D22" s="86"/>
      <c r="E22" s="86">
        <f t="shared" si="8"/>
        <v>70</v>
      </c>
      <c r="F22" s="42" t="str">
        <f t="shared" si="0"/>
        <v>不通过</v>
      </c>
      <c r="G22" s="86">
        <v>115</v>
      </c>
      <c r="H22" s="79">
        <v>107</v>
      </c>
      <c r="I22" s="80">
        <f t="shared" si="1"/>
        <v>0.93043478260869561</v>
      </c>
      <c r="J22" s="91">
        <v>52</v>
      </c>
      <c r="K22" s="91"/>
      <c r="L22" s="91">
        <v>42</v>
      </c>
      <c r="M22" s="80">
        <f t="shared" si="2"/>
        <v>0.80769230769230771</v>
      </c>
      <c r="N22" s="81">
        <f t="shared" si="3"/>
        <v>18</v>
      </c>
      <c r="O22" s="81">
        <v>0</v>
      </c>
      <c r="P22" s="81">
        <v>1</v>
      </c>
      <c r="Q22" s="81">
        <v>12</v>
      </c>
      <c r="R22" s="81">
        <v>5</v>
      </c>
      <c r="S22" s="81">
        <v>20</v>
      </c>
      <c r="T22" s="96">
        <f t="shared" si="4"/>
        <v>13.026086956521738</v>
      </c>
      <c r="U22" s="96">
        <f t="shared" si="5"/>
        <v>45.230769230769234</v>
      </c>
      <c r="V22" s="97">
        <f t="shared" si="6"/>
        <v>6.8376068376068373</v>
      </c>
      <c r="W22" s="98">
        <f t="shared" si="7"/>
        <v>51.419249349684137</v>
      </c>
      <c r="X22" s="75"/>
    </row>
    <row r="23" spans="1:24" ht="30">
      <c r="A23" s="75"/>
      <c r="B23" s="92">
        <v>2</v>
      </c>
      <c r="C23" s="86">
        <v>7</v>
      </c>
      <c r="D23" s="86"/>
      <c r="E23" s="86">
        <f t="shared" si="8"/>
        <v>60</v>
      </c>
      <c r="F23" s="42" t="str">
        <f t="shared" si="0"/>
        <v>不通过</v>
      </c>
      <c r="G23" s="86">
        <v>115</v>
      </c>
      <c r="H23" s="86">
        <v>107</v>
      </c>
      <c r="I23" s="80">
        <f t="shared" si="1"/>
        <v>0.93043478260869561</v>
      </c>
      <c r="J23" s="86">
        <v>53</v>
      </c>
      <c r="K23" s="86"/>
      <c r="L23" s="86">
        <v>46</v>
      </c>
      <c r="M23" s="80">
        <f t="shared" si="2"/>
        <v>0.86792452830188682</v>
      </c>
      <c r="N23" s="81">
        <f t="shared" si="3"/>
        <v>16</v>
      </c>
      <c r="O23" s="86">
        <v>0</v>
      </c>
      <c r="P23" s="86">
        <v>0</v>
      </c>
      <c r="Q23" s="86">
        <v>10</v>
      </c>
      <c r="R23" s="86">
        <v>6</v>
      </c>
      <c r="S23" s="86">
        <v>20</v>
      </c>
      <c r="T23" s="96">
        <f t="shared" si="4"/>
        <v>11.165217391304347</v>
      </c>
      <c r="U23" s="96">
        <f t="shared" si="5"/>
        <v>41.660377358490571</v>
      </c>
      <c r="V23" s="97">
        <f t="shared" si="6"/>
        <v>6.1320754716981138</v>
      </c>
      <c r="W23" s="98">
        <f t="shared" si="7"/>
        <v>46.693519278096801</v>
      </c>
      <c r="X23" s="75"/>
    </row>
    <row r="24" spans="1:24" ht="30">
      <c r="A24" s="75"/>
      <c r="B24" s="92">
        <v>2</v>
      </c>
      <c r="C24" s="86">
        <v>8</v>
      </c>
      <c r="D24" s="86"/>
      <c r="E24" s="86">
        <f t="shared" si="8"/>
        <v>50</v>
      </c>
      <c r="F24" s="42" t="str">
        <f t="shared" si="0"/>
        <v>不通过</v>
      </c>
      <c r="G24" s="86">
        <v>115</v>
      </c>
      <c r="H24" s="86">
        <v>107</v>
      </c>
      <c r="I24" s="80">
        <f t="shared" si="1"/>
        <v>0.93043478260869561</v>
      </c>
      <c r="J24" s="86">
        <v>53</v>
      </c>
      <c r="K24" s="86"/>
      <c r="L24" s="86">
        <v>46</v>
      </c>
      <c r="M24" s="80">
        <f t="shared" si="2"/>
        <v>0.86792452830188682</v>
      </c>
      <c r="N24" s="81">
        <f t="shared" si="3"/>
        <v>12</v>
      </c>
      <c r="O24" s="86">
        <v>0</v>
      </c>
      <c r="P24" s="86">
        <v>0</v>
      </c>
      <c r="Q24" s="86">
        <v>7</v>
      </c>
      <c r="R24" s="86">
        <v>5</v>
      </c>
      <c r="S24" s="86">
        <v>10</v>
      </c>
      <c r="T24" s="96">
        <f t="shared" si="4"/>
        <v>9.304347826086957</v>
      </c>
      <c r="U24" s="96">
        <f t="shared" si="5"/>
        <v>34.716981132075475</v>
      </c>
      <c r="V24" s="97">
        <f t="shared" si="6"/>
        <v>2.9874213836477992</v>
      </c>
      <c r="W24" s="98">
        <f t="shared" si="7"/>
        <v>41.033907574514629</v>
      </c>
      <c r="X24" s="75"/>
    </row>
    <row r="25" spans="1:24" ht="14.25" customHeight="1">
      <c r="A25" s="75"/>
      <c r="B25" s="69"/>
      <c r="C25" s="84"/>
      <c r="D25" s="69"/>
      <c r="E25" s="69"/>
      <c r="F25" s="69"/>
      <c r="G25" s="85"/>
      <c r="H25" s="85"/>
      <c r="I25" s="85"/>
      <c r="J25" s="85"/>
      <c r="K25" s="85"/>
      <c r="L25" s="85"/>
      <c r="M25" s="85"/>
      <c r="N25" s="73"/>
      <c r="W25" s="99"/>
    </row>
    <row r="26" spans="1:24" ht="17.399999999999999">
      <c r="A26" s="75"/>
      <c r="B26" s="72"/>
      <c r="C26" s="72"/>
      <c r="D26" s="72"/>
      <c r="E26" s="72"/>
      <c r="F26" s="72"/>
      <c r="G26" s="72"/>
      <c r="H26" s="72"/>
      <c r="I26" s="72"/>
      <c r="J26" s="72"/>
      <c r="K26" s="72"/>
      <c r="L26" s="72"/>
      <c r="M26" s="72"/>
      <c r="N26" s="73"/>
      <c r="W26" s="74"/>
    </row>
    <row r="27" spans="1:24" ht="17.55" customHeight="1">
      <c r="A27" s="75"/>
      <c r="B27" s="160" t="s">
        <v>48</v>
      </c>
      <c r="C27" s="113"/>
      <c r="D27" s="113"/>
      <c r="E27" s="113"/>
      <c r="F27" s="113"/>
      <c r="G27" s="113"/>
      <c r="H27" s="113"/>
      <c r="I27" s="113"/>
      <c r="J27" s="113"/>
      <c r="K27" s="113"/>
      <c r="L27" s="113"/>
      <c r="M27" s="113"/>
      <c r="N27" s="113"/>
      <c r="O27" s="113"/>
      <c r="P27" s="113"/>
      <c r="Q27" s="113"/>
      <c r="R27" s="113"/>
      <c r="S27" s="113"/>
      <c r="T27" s="113"/>
      <c r="U27" s="113"/>
      <c r="V27" s="114"/>
      <c r="W27" s="74"/>
    </row>
    <row r="28" spans="1:24" ht="149.55000000000001" customHeight="1">
      <c r="A28" s="75"/>
      <c r="B28" s="146"/>
      <c r="C28" s="113"/>
      <c r="D28" s="113"/>
      <c r="E28" s="113"/>
      <c r="F28" s="113"/>
      <c r="G28" s="113"/>
      <c r="H28" s="113"/>
      <c r="I28" s="113"/>
      <c r="J28" s="113"/>
      <c r="K28" s="113"/>
      <c r="L28" s="113"/>
      <c r="M28" s="113"/>
      <c r="N28" s="113"/>
      <c r="O28" s="113"/>
      <c r="P28" s="113"/>
      <c r="Q28" s="113"/>
      <c r="R28" s="113"/>
      <c r="S28" s="113"/>
      <c r="T28" s="113"/>
      <c r="U28" s="113"/>
      <c r="V28" s="114"/>
      <c r="W28" s="74"/>
    </row>
    <row r="29" spans="1:24" ht="14.25" customHeight="1">
      <c r="A29" s="75"/>
      <c r="B29" s="72"/>
      <c r="C29" s="72"/>
      <c r="D29" s="72"/>
      <c r="E29" s="72"/>
      <c r="F29" s="72"/>
      <c r="G29" s="72"/>
      <c r="H29" s="72"/>
      <c r="I29" s="72"/>
      <c r="J29" s="72"/>
      <c r="K29" s="72"/>
      <c r="L29" s="72"/>
      <c r="M29" s="72"/>
      <c r="N29" s="73"/>
      <c r="W29" s="74"/>
    </row>
    <row r="30" spans="1:24" ht="18" customHeight="1">
      <c r="A30" s="115" t="s">
        <v>49</v>
      </c>
      <c r="B30" s="116"/>
      <c r="C30" s="116"/>
      <c r="D30" s="116"/>
      <c r="E30" s="116"/>
      <c r="F30" s="116"/>
      <c r="G30" s="116"/>
      <c r="H30" s="116"/>
      <c r="I30" s="116"/>
      <c r="J30" s="116"/>
      <c r="K30" s="116"/>
      <c r="L30" s="116"/>
      <c r="M30" s="116"/>
      <c r="N30" s="116"/>
      <c r="W30" s="74"/>
    </row>
    <row r="31" spans="1:24" ht="18" customHeight="1">
      <c r="A31" s="71"/>
      <c r="B31" s="157" t="s">
        <v>50</v>
      </c>
      <c r="C31" s="113"/>
      <c r="D31" s="113"/>
      <c r="E31" s="113"/>
      <c r="F31" s="113"/>
      <c r="G31" s="113"/>
      <c r="H31" s="113"/>
      <c r="I31" s="113"/>
      <c r="J31" s="113"/>
      <c r="K31" s="113"/>
      <c r="L31" s="113"/>
      <c r="M31" s="113"/>
      <c r="N31" s="113"/>
      <c r="O31" s="113"/>
      <c r="P31" s="113"/>
      <c r="Q31" s="113"/>
      <c r="R31" s="113"/>
      <c r="S31" s="113"/>
      <c r="T31" s="113"/>
      <c r="U31" s="113"/>
      <c r="V31" s="114"/>
      <c r="W31" s="74"/>
    </row>
    <row r="32" spans="1:24" ht="16.5" customHeight="1">
      <c r="A32" s="71"/>
      <c r="B32" s="117" t="s">
        <v>51</v>
      </c>
      <c r="C32" s="114"/>
      <c r="D32" s="149" t="s">
        <v>52</v>
      </c>
      <c r="E32" s="113"/>
      <c r="F32" s="113"/>
      <c r="G32" s="113"/>
      <c r="H32" s="113"/>
      <c r="I32" s="113"/>
      <c r="J32" s="113"/>
      <c r="K32" s="113"/>
      <c r="L32" s="113"/>
      <c r="M32" s="113"/>
      <c r="N32" s="113"/>
      <c r="O32" s="113"/>
      <c r="P32" s="113"/>
      <c r="Q32" s="113"/>
      <c r="R32" s="113"/>
      <c r="S32" s="113"/>
      <c r="T32" s="113"/>
      <c r="U32" s="113"/>
      <c r="V32" s="114"/>
      <c r="W32" s="74"/>
    </row>
    <row r="33" spans="1:23" ht="16.5" customHeight="1">
      <c r="A33" s="71"/>
      <c r="B33" s="127" t="s">
        <v>53</v>
      </c>
      <c r="C33" s="114"/>
      <c r="D33" s="159" t="s">
        <v>54</v>
      </c>
      <c r="E33" s="113"/>
      <c r="F33" s="113"/>
      <c r="G33" s="113"/>
      <c r="H33" s="113"/>
      <c r="I33" s="113"/>
      <c r="J33" s="113"/>
      <c r="K33" s="113"/>
      <c r="L33" s="113"/>
      <c r="M33" s="113"/>
      <c r="N33" s="113"/>
      <c r="O33" s="113"/>
      <c r="P33" s="113"/>
      <c r="Q33" s="113"/>
      <c r="R33" s="113"/>
      <c r="S33" s="113"/>
      <c r="T33" s="113"/>
      <c r="U33" s="113"/>
      <c r="V33" s="114"/>
      <c r="W33" s="74"/>
    </row>
    <row r="34" spans="1:23" ht="68.25" customHeight="1">
      <c r="A34" s="71"/>
      <c r="B34" s="117" t="s">
        <v>55</v>
      </c>
      <c r="C34" s="114"/>
      <c r="D34" s="140" t="s">
        <v>56</v>
      </c>
      <c r="E34" s="113"/>
      <c r="F34" s="113"/>
      <c r="G34" s="113"/>
      <c r="H34" s="113"/>
      <c r="I34" s="113"/>
      <c r="J34" s="113"/>
      <c r="K34" s="113"/>
      <c r="L34" s="113"/>
      <c r="M34" s="113"/>
      <c r="N34" s="113"/>
      <c r="O34" s="113"/>
      <c r="P34" s="113"/>
      <c r="Q34" s="113"/>
      <c r="R34" s="113"/>
      <c r="S34" s="113"/>
      <c r="T34" s="113"/>
      <c r="U34" s="113"/>
      <c r="V34" s="114"/>
      <c r="W34" s="74"/>
    </row>
    <row r="35" spans="1:23" ht="16.2" customHeight="1">
      <c r="A35" s="71"/>
      <c r="B35" s="117" t="s">
        <v>57</v>
      </c>
      <c r="C35" s="133"/>
      <c r="D35" s="117" t="s">
        <v>58</v>
      </c>
      <c r="E35" s="114"/>
      <c r="F35" s="117" t="s">
        <v>59</v>
      </c>
      <c r="G35" s="113"/>
      <c r="H35" s="113"/>
      <c r="I35" s="113"/>
      <c r="J35" s="113"/>
      <c r="K35" s="114"/>
      <c r="L35" s="143" t="s">
        <v>60</v>
      </c>
      <c r="M35" s="113"/>
      <c r="N35" s="113"/>
      <c r="O35" s="113"/>
      <c r="P35" s="113"/>
      <c r="Q35" s="113"/>
      <c r="R35" s="114"/>
      <c r="S35" s="143" t="s">
        <v>61</v>
      </c>
      <c r="T35" s="113"/>
      <c r="U35" s="113"/>
      <c r="V35" s="114"/>
      <c r="W35" s="74"/>
    </row>
    <row r="36" spans="1:23" ht="25.95" customHeight="1">
      <c r="A36" s="71"/>
      <c r="B36" s="147"/>
      <c r="C36" s="120"/>
      <c r="D36" s="118" t="s">
        <v>62</v>
      </c>
      <c r="E36" s="114"/>
      <c r="F36" s="140" t="s">
        <v>63</v>
      </c>
      <c r="G36" s="113"/>
      <c r="H36" s="113"/>
      <c r="I36" s="113"/>
      <c r="J36" s="113"/>
      <c r="K36" s="114"/>
      <c r="L36" s="140" t="s">
        <v>64</v>
      </c>
      <c r="M36" s="113"/>
      <c r="N36" s="113"/>
      <c r="O36" s="113"/>
      <c r="P36" s="113"/>
      <c r="Q36" s="113"/>
      <c r="R36" s="114"/>
      <c r="S36" s="140"/>
      <c r="T36" s="113"/>
      <c r="U36" s="113"/>
      <c r="V36" s="114"/>
      <c r="W36" s="74"/>
    </row>
    <row r="37" spans="1:23" ht="25.95" customHeight="1">
      <c r="A37" s="71"/>
      <c r="B37" s="147"/>
      <c r="C37" s="120"/>
      <c r="D37" s="118" t="s">
        <v>65</v>
      </c>
      <c r="E37" s="114"/>
      <c r="F37" s="140" t="s">
        <v>66</v>
      </c>
      <c r="G37" s="113"/>
      <c r="H37" s="113"/>
      <c r="I37" s="113"/>
      <c r="J37" s="113"/>
      <c r="K37" s="114"/>
      <c r="L37" s="140" t="s">
        <v>67</v>
      </c>
      <c r="M37" s="113"/>
      <c r="N37" s="113"/>
      <c r="O37" s="113"/>
      <c r="P37" s="113"/>
      <c r="Q37" s="113"/>
      <c r="R37" s="114"/>
      <c r="S37" s="140"/>
      <c r="T37" s="113"/>
      <c r="U37" s="113"/>
      <c r="V37" s="114"/>
      <c r="W37" s="74"/>
    </row>
    <row r="38" spans="1:23" ht="25.95" customHeight="1">
      <c r="A38" s="71"/>
      <c r="B38" s="148"/>
      <c r="C38" s="130"/>
      <c r="D38" s="118" t="s">
        <v>68</v>
      </c>
      <c r="E38" s="114"/>
      <c r="F38" s="140" t="s">
        <v>69</v>
      </c>
      <c r="G38" s="113"/>
      <c r="H38" s="113"/>
      <c r="I38" s="113"/>
      <c r="J38" s="113"/>
      <c r="K38" s="114"/>
      <c r="L38" s="140" t="s">
        <v>70</v>
      </c>
      <c r="M38" s="113"/>
      <c r="N38" s="113"/>
      <c r="O38" s="113"/>
      <c r="P38" s="113"/>
      <c r="Q38" s="113"/>
      <c r="R38" s="114"/>
      <c r="S38" s="140"/>
      <c r="T38" s="113"/>
      <c r="U38" s="113"/>
      <c r="V38" s="114"/>
      <c r="W38" s="74"/>
    </row>
    <row r="39" spans="1:23" ht="21.75" customHeight="1">
      <c r="A39" s="71"/>
      <c r="B39" s="142"/>
      <c r="C39" s="116"/>
      <c r="D39" s="116"/>
      <c r="E39" s="116"/>
      <c r="F39" s="116"/>
      <c r="G39" s="116"/>
      <c r="H39" s="116"/>
      <c r="I39" s="116"/>
      <c r="J39" s="116"/>
      <c r="K39" s="116"/>
      <c r="L39" s="116"/>
      <c r="M39" s="116"/>
      <c r="N39" s="70"/>
      <c r="W39" s="74"/>
    </row>
    <row r="40" spans="1:23" ht="21.75" customHeight="1">
      <c r="A40" s="71"/>
      <c r="B40" s="157" t="s">
        <v>71</v>
      </c>
      <c r="C40" s="113"/>
      <c r="D40" s="113"/>
      <c r="E40" s="113"/>
      <c r="F40" s="113"/>
      <c r="G40" s="113"/>
      <c r="H40" s="113"/>
      <c r="I40" s="113"/>
      <c r="J40" s="113"/>
      <c r="K40" s="113"/>
      <c r="L40" s="113"/>
      <c r="M40" s="113"/>
      <c r="N40" s="113"/>
      <c r="O40" s="113"/>
      <c r="P40" s="113"/>
      <c r="Q40" s="113"/>
      <c r="R40" s="113"/>
      <c r="S40" s="113"/>
      <c r="T40" s="113"/>
      <c r="U40" s="113"/>
      <c r="V40" s="114"/>
      <c r="W40" s="74"/>
    </row>
    <row r="41" spans="1:23" ht="55.95" customHeight="1">
      <c r="A41" s="71"/>
      <c r="B41" s="117" t="s">
        <v>72</v>
      </c>
      <c r="C41" s="114"/>
      <c r="D41" s="140" t="s">
        <v>73</v>
      </c>
      <c r="E41" s="113"/>
      <c r="F41" s="113"/>
      <c r="G41" s="113"/>
      <c r="H41" s="113"/>
      <c r="I41" s="113"/>
      <c r="J41" s="113"/>
      <c r="K41" s="113"/>
      <c r="L41" s="113"/>
      <c r="M41" s="113"/>
      <c r="N41" s="113"/>
      <c r="O41" s="113"/>
      <c r="P41" s="113"/>
      <c r="Q41" s="113"/>
      <c r="R41" s="113"/>
      <c r="S41" s="113"/>
      <c r="T41" s="113"/>
      <c r="U41" s="113"/>
      <c r="V41" s="114"/>
      <c r="W41" s="74"/>
    </row>
    <row r="42" spans="1:23" ht="33" customHeight="1">
      <c r="A42" s="71"/>
      <c r="B42" s="117" t="s">
        <v>74</v>
      </c>
      <c r="C42" s="114"/>
      <c r="D42" s="140"/>
      <c r="E42" s="113"/>
      <c r="F42" s="113"/>
      <c r="G42" s="113"/>
      <c r="H42" s="113"/>
      <c r="I42" s="113"/>
      <c r="J42" s="113"/>
      <c r="K42" s="113"/>
      <c r="L42" s="113"/>
      <c r="M42" s="113"/>
      <c r="N42" s="113"/>
      <c r="O42" s="113"/>
      <c r="P42" s="113"/>
      <c r="Q42" s="113"/>
      <c r="R42" s="113"/>
      <c r="S42" s="113"/>
      <c r="T42" s="113"/>
      <c r="U42" s="113"/>
      <c r="V42" s="114"/>
      <c r="W42" s="74"/>
    </row>
    <row r="43" spans="1:23" ht="34.5" customHeight="1">
      <c r="A43" s="71"/>
      <c r="B43" s="117" t="s">
        <v>75</v>
      </c>
      <c r="C43" s="114"/>
      <c r="D43" s="140"/>
      <c r="E43" s="113"/>
      <c r="F43" s="113"/>
      <c r="G43" s="113"/>
      <c r="H43" s="113"/>
      <c r="I43" s="113"/>
      <c r="J43" s="113"/>
      <c r="K43" s="113"/>
      <c r="L43" s="113"/>
      <c r="M43" s="113"/>
      <c r="N43" s="113"/>
      <c r="O43" s="113"/>
      <c r="P43" s="113"/>
      <c r="Q43" s="113"/>
      <c r="R43" s="113"/>
      <c r="S43" s="113"/>
      <c r="T43" s="113"/>
      <c r="U43" s="113"/>
      <c r="V43" s="114"/>
      <c r="W43" s="74"/>
    </row>
    <row r="44" spans="1:23" ht="30.75" customHeight="1">
      <c r="A44" s="71"/>
      <c r="B44" s="117" t="s">
        <v>76</v>
      </c>
      <c r="C44" s="114"/>
      <c r="D44" s="140"/>
      <c r="E44" s="113"/>
      <c r="F44" s="113"/>
      <c r="G44" s="113"/>
      <c r="H44" s="113"/>
      <c r="I44" s="113"/>
      <c r="J44" s="113"/>
      <c r="K44" s="113"/>
      <c r="L44" s="113"/>
      <c r="M44" s="113"/>
      <c r="N44" s="113"/>
      <c r="O44" s="113"/>
      <c r="P44" s="113"/>
      <c r="Q44" s="113"/>
      <c r="R44" s="113"/>
      <c r="S44" s="113"/>
      <c r="T44" s="113"/>
      <c r="U44" s="113"/>
      <c r="V44" s="114"/>
      <c r="W44" s="74"/>
    </row>
    <row r="45" spans="1:23" ht="28.5" customHeight="1">
      <c r="A45" s="71"/>
      <c r="B45" s="117" t="s">
        <v>77</v>
      </c>
      <c r="C45" s="114"/>
      <c r="D45" s="140" t="s">
        <v>78</v>
      </c>
      <c r="E45" s="113"/>
      <c r="F45" s="113"/>
      <c r="G45" s="113"/>
      <c r="H45" s="113"/>
      <c r="I45" s="113"/>
      <c r="J45" s="113"/>
      <c r="K45" s="113"/>
      <c r="L45" s="113"/>
      <c r="M45" s="113"/>
      <c r="N45" s="113"/>
      <c r="O45" s="113"/>
      <c r="P45" s="113"/>
      <c r="Q45" s="113"/>
      <c r="R45" s="113"/>
      <c r="S45" s="113"/>
      <c r="T45" s="113"/>
      <c r="U45" s="113"/>
      <c r="V45" s="114"/>
      <c r="W45" s="74"/>
    </row>
    <row r="46" spans="1:23">
      <c r="A46" s="76"/>
      <c r="B46" s="77"/>
      <c r="C46" s="77"/>
      <c r="D46" s="77"/>
      <c r="E46" s="77"/>
      <c r="F46" s="77"/>
      <c r="G46" s="77"/>
      <c r="H46" s="77"/>
      <c r="I46" s="77"/>
      <c r="J46" s="77"/>
      <c r="K46" s="77"/>
      <c r="L46" s="77"/>
      <c r="M46" s="77"/>
      <c r="N46" s="77"/>
      <c r="O46" s="77"/>
      <c r="P46" s="77"/>
      <c r="Q46" s="77"/>
      <c r="R46" s="77"/>
      <c r="S46" s="77"/>
      <c r="T46" s="77"/>
      <c r="U46" s="77"/>
      <c r="V46" s="77"/>
      <c r="W46" s="78"/>
    </row>
    <row r="47" spans="1:23" ht="16.5" customHeight="1">
      <c r="A47" s="154" t="s">
        <v>79</v>
      </c>
      <c r="B47" s="155"/>
      <c r="C47" s="155"/>
      <c r="D47" s="155"/>
      <c r="E47" s="155"/>
      <c r="F47" s="155"/>
      <c r="G47" s="155"/>
      <c r="H47" s="155"/>
      <c r="I47" s="155"/>
      <c r="J47" s="155"/>
      <c r="K47" s="155"/>
      <c r="L47" s="155"/>
      <c r="M47" s="155"/>
      <c r="N47" s="155"/>
      <c r="O47" s="155"/>
      <c r="P47" s="155"/>
      <c r="Q47" s="155"/>
      <c r="R47" s="155"/>
      <c r="S47" s="155"/>
      <c r="T47" s="155"/>
      <c r="U47" s="155"/>
      <c r="V47" s="155"/>
      <c r="W47" s="155"/>
    </row>
  </sheetData>
  <mergeCells count="91">
    <mergeCell ref="D45:V45"/>
    <mergeCell ref="D3:E3"/>
    <mergeCell ref="A47:W47"/>
    <mergeCell ref="A5:W5"/>
    <mergeCell ref="O4:R4"/>
    <mergeCell ref="S37:V37"/>
    <mergeCell ref="B45:C45"/>
    <mergeCell ref="B31:V31"/>
    <mergeCell ref="F15:F16"/>
    <mergeCell ref="F36:K36"/>
    <mergeCell ref="F3:G3"/>
    <mergeCell ref="D33:V33"/>
    <mergeCell ref="B27:V27"/>
    <mergeCell ref="B40:V40"/>
    <mergeCell ref="A6:D6"/>
    <mergeCell ref="M3:N3"/>
    <mergeCell ref="B42:C42"/>
    <mergeCell ref="E15:E16"/>
    <mergeCell ref="D44:V44"/>
    <mergeCell ref="D34:V34"/>
    <mergeCell ref="F2:G2"/>
    <mergeCell ref="B44:C44"/>
    <mergeCell ref="N15:S15"/>
    <mergeCell ref="L37:R37"/>
    <mergeCell ref="B34:C34"/>
    <mergeCell ref="U4:W4"/>
    <mergeCell ref="S2:T2"/>
    <mergeCell ref="J15:M15"/>
    <mergeCell ref="T15:V15"/>
    <mergeCell ref="C15:C16"/>
    <mergeCell ref="L38:R38"/>
    <mergeCell ref="A12:V12"/>
    <mergeCell ref="A1:W1"/>
    <mergeCell ref="F38:K38"/>
    <mergeCell ref="D2:E2"/>
    <mergeCell ref="O3:R3"/>
    <mergeCell ref="B28:V28"/>
    <mergeCell ref="A4:C4"/>
    <mergeCell ref="F37:K37"/>
    <mergeCell ref="D37:E37"/>
    <mergeCell ref="B35:C38"/>
    <mergeCell ref="S38:V38"/>
    <mergeCell ref="M4:N4"/>
    <mergeCell ref="D32:V32"/>
    <mergeCell ref="D38:E38"/>
    <mergeCell ref="U10:V10"/>
    <mergeCell ref="L35:R35"/>
    <mergeCell ref="U2:W2"/>
    <mergeCell ref="B41:C41"/>
    <mergeCell ref="S4:T4"/>
    <mergeCell ref="D43:V43"/>
    <mergeCell ref="E6:W6"/>
    <mergeCell ref="D35:E35"/>
    <mergeCell ref="W15:W16"/>
    <mergeCell ref="S36:V36"/>
    <mergeCell ref="D41:V41"/>
    <mergeCell ref="B39:M39"/>
    <mergeCell ref="F4:G4"/>
    <mergeCell ref="U9:V9"/>
    <mergeCell ref="S35:V35"/>
    <mergeCell ref="H4:L4"/>
    <mergeCell ref="B43:C43"/>
    <mergeCell ref="D42:V42"/>
    <mergeCell ref="L36:R36"/>
    <mergeCell ref="H2:L2"/>
    <mergeCell ref="S10:T10"/>
    <mergeCell ref="A7:D7"/>
    <mergeCell ref="B10:R10"/>
    <mergeCell ref="D4:E4"/>
    <mergeCell ref="S9:T9"/>
    <mergeCell ref="H3:L3"/>
    <mergeCell ref="B9:R9"/>
    <mergeCell ref="A8:W8"/>
    <mergeCell ref="A3:C3"/>
    <mergeCell ref="U3:W3"/>
    <mergeCell ref="O2:R2"/>
    <mergeCell ref="S3:T3"/>
    <mergeCell ref="A2:C2"/>
    <mergeCell ref="M2:N2"/>
    <mergeCell ref="B11:V11"/>
    <mergeCell ref="A30:N30"/>
    <mergeCell ref="F35:K35"/>
    <mergeCell ref="D36:E36"/>
    <mergeCell ref="E7:W7"/>
    <mergeCell ref="G15:I15"/>
    <mergeCell ref="A13:V13"/>
    <mergeCell ref="B15:B16"/>
    <mergeCell ref="D15:D16"/>
    <mergeCell ref="B33:C33"/>
    <mergeCell ref="B14:W14"/>
    <mergeCell ref="B32:C32"/>
  </mergeCells>
  <phoneticPr fontId="47" type="noConversion"/>
  <conditionalFormatting sqref="B10 S10 U10">
    <cfRule type="cellIs" dxfId="98" priority="25" operator="equal">
      <formula>$B$10</formula>
    </cfRule>
    <cfRule type="cellIs" dxfId="97" priority="26" operator="equal">
      <formula>"结论待评审"</formula>
    </cfRule>
    <cfRule type="containsText" dxfId="96" priority="27" operator="containsText" text="【不通过】：测试结果“不通过”，无法改进，公司评审不通过，产品失败，项目终止。">
      <formula>NOT(ISERROR(SEARCH("【不通过】：测试结果“不通过”，无法改进，公司评审不通过，产品失败，项目终止。",B10)))</formula>
    </cfRule>
    <cfRule type="containsText" dxfId="95" priority="28" operator="containsText" text="【评审通过】：测试结果“不通过”，无法改进测试提出想法，公司评审确定通过。">
      <formula>NOT(ISERROR(SEARCH("【评审通过】：测试结果“不通过”，无法改进测试提出想法，公司评审确定通过。",B10)))</formula>
    </cfRule>
    <cfRule type="containsText" dxfId="94" priority="29" operator="containsText" text="【通过】：测试结果“不通过”，改进测试不通过项后满足需求。">
      <formula>NOT(ISERROR(SEARCH("【通过】：测试结果“不通过”，改进测试不通过项后满足需求。",B10)))</formula>
    </cfRule>
    <cfRule type="containsText" dxfId="93" priority="30" operator="containsText" text="【通过】：测试结果“通过”，完全满足需求。">
      <formula>NOT(ISERROR(SEARCH("【通过】：测试结果“通过”，完全满足需求。",B10)))</formula>
    </cfRule>
  </conditionalFormatting>
  <conditionalFormatting sqref="B11">
    <cfRule type="cellIs" dxfId="92" priority="41" operator="equal">
      <formula>"评审通过"</formula>
    </cfRule>
    <cfRule type="cellIs" dxfId="91" priority="42" operator="equal">
      <formula>"评审通过"</formula>
    </cfRule>
    <cfRule type="cellIs" dxfId="90" priority="43" operator="equal">
      <formula>"通过"</formula>
    </cfRule>
    <cfRule type="cellIs" dxfId="89" priority="44" operator="equal">
      <formula>"不通过"</formula>
    </cfRule>
    <cfRule type="cellIs" dxfId="88" priority="45" operator="equal">
      <formula>"通过"</formula>
    </cfRule>
  </conditionalFormatting>
  <conditionalFormatting sqref="W15">
    <cfRule type="cellIs" dxfId="87" priority="16" operator="greaterThan">
      <formula>80</formula>
    </cfRule>
    <cfRule type="cellIs" dxfId="86" priority="17" operator="between">
      <formula>60</formula>
      <formula>80</formula>
    </cfRule>
    <cfRule type="cellIs" dxfId="85" priority="18" operator="lessThan">
      <formula>60</formula>
    </cfRule>
  </conditionalFormatting>
  <conditionalFormatting sqref="F15">
    <cfRule type="cellIs" dxfId="84" priority="15" operator="equal">
      <formula>"通过"</formula>
    </cfRule>
  </conditionalFormatting>
  <conditionalFormatting sqref="W17:W24">
    <cfRule type="cellIs" dxfId="83" priority="11" operator="greaterThan">
      <formula>80</formula>
    </cfRule>
    <cfRule type="cellIs" dxfId="82" priority="12" operator="between">
      <formula>60</formula>
      <formula>80</formula>
    </cfRule>
    <cfRule type="cellIs" dxfId="81" priority="13" operator="lessThan">
      <formula>60</formula>
    </cfRule>
  </conditionalFormatting>
  <conditionalFormatting sqref="F17:F24">
    <cfRule type="cellIs" dxfId="80" priority="7" operator="equal">
      <formula>"通过"</formula>
    </cfRule>
  </conditionalFormatting>
  <conditionalFormatting sqref="B10">
    <cfRule type="containsText" dxfId="79" priority="3" operator="containsText" text="【评审通过】：测试结果“不通过”，无法改进，公司评审确定通过。">
      <formula>NOT(ISERROR(SEARCH("【评审通过】：测试结果“不通过”，无法改进，公司评审确定通过。",B10)))</formula>
    </cfRule>
    <cfRule type="containsText" dxfId="78" priority="4" operator="containsText" text="【通过】：测试结果“不通过”，改进测试不通过项后满足需求。">
      <formula>NOT(ISERROR(SEARCH("【通过】：测试结果“不通过”，改进测试不通过项后满足需求。",B10)))</formula>
    </cfRule>
    <cfRule type="containsText" dxfId="77" priority="5" operator="containsText" text="【通过】：测试结果“通过”，完全满足需求。">
      <formula>NOT(ISERROR(SEARCH("【通过】：测试结果“通过”，完全满足需求。",B10)))</formula>
    </cfRule>
  </conditionalFormatting>
  <dataValidations count="2">
    <dataValidation type="list" allowBlank="1" showInputMessage="1" showErrorMessage="1" sqref="D4">
      <formula1>"新产品验收,维护升级,新增需求"</formula1>
    </dataValidation>
    <dataValidation type="list" allowBlank="1" showInputMessage="1" showErrorMessage="1" sqref="B10:Q10">
      <formula1>"【通过】：测试结果“通过”，完全满足需求。,【通过】：测试结果“不通过”，改进测试不通过项后满足需求。,【不通过】：测试结果“不通过”，优化后下一版本验证。,【不通过】：测试结果“不通过”，项目终止。"</formula1>
    </dataValidation>
  </dataValidations>
  <pageMargins left="0" right="0" top="0.74803149606299213" bottom="0.35433070866141742" header="0.31496062992125978" footer="0.31496062992125978"/>
  <pageSetup paperSize="9" orientation="landscape"/>
  <headerFooter>
    <oddHeader>&amp;L&amp;6 &amp;G</oddHeader>
    <oddFooter>&amp;C本文中的所有信息均为深圳市雄帝科技股份有限公司内部信息，不得向外传播。</oddFooter>
  </headerFooter>
  <rowBreaks count="2" manualBreakCount="2">
    <brk id="12" max="16383" man="1"/>
    <brk id="29" max="16383" man="1"/>
  </rowBreaks>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0000"/>
  </sheetPr>
  <dimension ref="A1:O290"/>
  <sheetViews>
    <sheetView zoomScaleNormal="100" workbookViewId="0">
      <selection sqref="A1:M1"/>
    </sheetView>
  </sheetViews>
  <sheetFormatPr defaultColWidth="9.44140625" defaultRowHeight="13.2"/>
  <cols>
    <col min="1" max="1" width="5.33203125" style="1" customWidth="1"/>
    <col min="2" max="2" width="5.77734375" style="1" customWidth="1"/>
    <col min="3" max="3" width="5.44140625" style="1" customWidth="1"/>
    <col min="4" max="4" width="17" style="1" customWidth="1"/>
    <col min="5" max="5" width="9.109375" style="1" customWidth="1"/>
    <col min="6" max="6" width="5.88671875" style="1" customWidth="1"/>
    <col min="7" max="7" width="6.109375" style="1" customWidth="1"/>
    <col min="8" max="8" width="4.21875" style="1" customWidth="1"/>
    <col min="9" max="9" width="26.109375" style="1" customWidth="1"/>
    <col min="10" max="10" width="6.21875" style="1" customWidth="1"/>
    <col min="11" max="11" width="6.44140625" style="1" customWidth="1"/>
    <col min="12" max="12" width="10.33203125" style="1" customWidth="1"/>
    <col min="13" max="13" width="5.33203125" style="1" customWidth="1"/>
    <col min="14" max="14" width="6.44140625" style="1" customWidth="1"/>
    <col min="15" max="15" width="8.88671875" style="1" customWidth="1"/>
    <col min="16" max="16" width="9.44140625" style="1" customWidth="1"/>
    <col min="17" max="16384" width="9.44140625" style="1"/>
  </cols>
  <sheetData>
    <row r="1" spans="1:15" ht="19.95" customHeight="1">
      <c r="A1" s="161" t="str">
        <f ca="1">MID(CELL("filename",A2),FIND("]",CELL("filename",A2))+1,255)</f>
        <v>遗留缺陷列表</v>
      </c>
      <c r="B1" s="162"/>
      <c r="C1" s="162"/>
      <c r="D1" s="162"/>
      <c r="E1" s="162"/>
      <c r="F1" s="162"/>
      <c r="G1" s="162"/>
      <c r="H1" s="162"/>
      <c r="I1" s="162"/>
      <c r="J1" s="162"/>
      <c r="K1" s="162"/>
      <c r="L1" s="162"/>
      <c r="M1" s="162"/>
    </row>
    <row r="2" spans="1:15" ht="49.5" customHeight="1">
      <c r="A2" s="5" t="s">
        <v>80</v>
      </c>
      <c r="B2" s="5" t="s">
        <v>81</v>
      </c>
      <c r="C2" s="5" t="s">
        <v>82</v>
      </c>
      <c r="D2" s="5" t="s">
        <v>83</v>
      </c>
      <c r="E2" s="5" t="s">
        <v>84</v>
      </c>
      <c r="F2" s="5" t="s">
        <v>85</v>
      </c>
      <c r="G2" s="5" t="s">
        <v>86</v>
      </c>
      <c r="H2" s="5" t="s">
        <v>87</v>
      </c>
      <c r="I2" s="5" t="s">
        <v>88</v>
      </c>
      <c r="J2" s="5" t="s">
        <v>89</v>
      </c>
      <c r="K2" s="5" t="s">
        <v>90</v>
      </c>
      <c r="L2" s="5" t="s">
        <v>91</v>
      </c>
      <c r="M2" s="5" t="s">
        <v>92</v>
      </c>
      <c r="N2" s="5" t="s">
        <v>93</v>
      </c>
      <c r="O2" s="5" t="s">
        <v>94</v>
      </c>
    </row>
    <row r="3" spans="1:15" ht="96" customHeight="1">
      <c r="A3" s="43">
        <v>42070</v>
      </c>
      <c r="B3" s="43" t="s">
        <v>186</v>
      </c>
      <c r="C3" s="43"/>
      <c r="D3" s="43" t="s">
        <v>187</v>
      </c>
      <c r="E3" s="43" t="s">
        <v>99</v>
      </c>
      <c r="F3" s="43" t="s">
        <v>77</v>
      </c>
      <c r="G3" s="43"/>
      <c r="H3" s="43"/>
      <c r="I3" s="43" t="s">
        <v>188</v>
      </c>
      <c r="J3" s="43" t="s">
        <v>97</v>
      </c>
      <c r="K3" s="43" t="s">
        <v>189</v>
      </c>
      <c r="L3" s="43" t="s">
        <v>190</v>
      </c>
      <c r="M3" s="43" t="s">
        <v>191</v>
      </c>
      <c r="N3" s="43"/>
      <c r="O3" s="43"/>
    </row>
    <row r="4" spans="1:15" ht="108" customHeight="1">
      <c r="A4" s="43">
        <v>42069</v>
      </c>
      <c r="B4" s="43" t="s">
        <v>186</v>
      </c>
      <c r="C4" s="43"/>
      <c r="D4" s="43" t="s">
        <v>192</v>
      </c>
      <c r="E4" s="43" t="s">
        <v>99</v>
      </c>
      <c r="F4" s="43" t="s">
        <v>77</v>
      </c>
      <c r="G4" s="43"/>
      <c r="H4" s="43"/>
      <c r="I4" s="43" t="s">
        <v>193</v>
      </c>
      <c r="J4" s="43" t="s">
        <v>97</v>
      </c>
      <c r="K4" s="43" t="s">
        <v>189</v>
      </c>
      <c r="L4" s="43" t="s">
        <v>190</v>
      </c>
      <c r="M4" s="43" t="s">
        <v>191</v>
      </c>
      <c r="N4" s="43"/>
      <c r="O4" s="43"/>
    </row>
    <row r="5" spans="1:15" ht="96" customHeight="1">
      <c r="A5" s="43">
        <v>42068</v>
      </c>
      <c r="B5" s="43" t="s">
        <v>186</v>
      </c>
      <c r="C5" s="43"/>
      <c r="D5" s="43" t="s">
        <v>194</v>
      </c>
      <c r="E5" s="43" t="s">
        <v>99</v>
      </c>
      <c r="F5" s="43" t="s">
        <v>77</v>
      </c>
      <c r="G5" s="43"/>
      <c r="H5" s="43"/>
      <c r="I5" s="43" t="s">
        <v>195</v>
      </c>
      <c r="J5" s="43" t="s">
        <v>97</v>
      </c>
      <c r="K5" s="43" t="s">
        <v>189</v>
      </c>
      <c r="L5" s="43" t="s">
        <v>190</v>
      </c>
      <c r="M5" s="43" t="s">
        <v>191</v>
      </c>
      <c r="N5" s="43"/>
      <c r="O5" s="43"/>
    </row>
    <row r="6" spans="1:15" ht="96" customHeight="1">
      <c r="A6" s="43">
        <v>42067</v>
      </c>
      <c r="B6" s="43" t="s">
        <v>186</v>
      </c>
      <c r="C6" s="43"/>
      <c r="D6" s="43" t="s">
        <v>196</v>
      </c>
      <c r="E6" s="43" t="s">
        <v>99</v>
      </c>
      <c r="F6" s="43" t="s">
        <v>77</v>
      </c>
      <c r="G6" s="43"/>
      <c r="H6" s="43"/>
      <c r="I6" s="43" t="s">
        <v>197</v>
      </c>
      <c r="J6" s="43" t="s">
        <v>97</v>
      </c>
      <c r="K6" s="43" t="s">
        <v>189</v>
      </c>
      <c r="L6" s="43" t="s">
        <v>190</v>
      </c>
      <c r="M6" s="43" t="s">
        <v>198</v>
      </c>
      <c r="N6" s="43"/>
      <c r="O6" s="43"/>
    </row>
    <row r="7" spans="1:15" ht="96" customHeight="1">
      <c r="A7" s="43">
        <v>42066</v>
      </c>
      <c r="B7" s="43" t="s">
        <v>186</v>
      </c>
      <c r="C7" s="43"/>
      <c r="D7" s="43" t="s">
        <v>199</v>
      </c>
      <c r="E7" s="43" t="s">
        <v>99</v>
      </c>
      <c r="F7" s="43" t="s">
        <v>77</v>
      </c>
      <c r="G7" s="43"/>
      <c r="H7" s="43"/>
      <c r="I7" s="43" t="s">
        <v>200</v>
      </c>
      <c r="J7" s="43" t="s">
        <v>97</v>
      </c>
      <c r="K7" s="43" t="s">
        <v>189</v>
      </c>
      <c r="L7" s="43" t="s">
        <v>190</v>
      </c>
      <c r="M7" s="43" t="s">
        <v>198</v>
      </c>
      <c r="N7" s="43"/>
      <c r="O7" s="43"/>
    </row>
    <row r="8" spans="1:15" ht="108" customHeight="1">
      <c r="A8" s="43">
        <v>42065</v>
      </c>
      <c r="B8" s="43" t="s">
        <v>186</v>
      </c>
      <c r="C8" s="43"/>
      <c r="D8" s="43" t="s">
        <v>201</v>
      </c>
      <c r="E8" s="43" t="s">
        <v>99</v>
      </c>
      <c r="F8" s="43" t="s">
        <v>77</v>
      </c>
      <c r="G8" s="43"/>
      <c r="H8" s="43"/>
      <c r="I8" s="43" t="s">
        <v>202</v>
      </c>
      <c r="J8" s="43" t="s">
        <v>97</v>
      </c>
      <c r="K8" s="43" t="s">
        <v>189</v>
      </c>
      <c r="L8" s="43" t="s">
        <v>190</v>
      </c>
      <c r="M8" s="43" t="s">
        <v>198</v>
      </c>
      <c r="N8" s="43"/>
      <c r="O8" s="43"/>
    </row>
    <row r="9" spans="1:15" ht="84" customHeight="1">
      <c r="A9" s="43">
        <v>42064</v>
      </c>
      <c r="B9" s="43" t="s">
        <v>186</v>
      </c>
      <c r="C9" s="43"/>
      <c r="D9" s="43" t="s">
        <v>203</v>
      </c>
      <c r="E9" s="43" t="s">
        <v>99</v>
      </c>
      <c r="F9" s="43" t="s">
        <v>77</v>
      </c>
      <c r="G9" s="43"/>
      <c r="H9" s="43"/>
      <c r="I9" s="43" t="s">
        <v>204</v>
      </c>
      <c r="J9" s="43" t="s">
        <v>97</v>
      </c>
      <c r="K9" s="43" t="s">
        <v>189</v>
      </c>
      <c r="L9" s="43" t="s">
        <v>190</v>
      </c>
      <c r="M9" s="43" t="s">
        <v>198</v>
      </c>
      <c r="N9" s="43"/>
      <c r="O9" s="43"/>
    </row>
    <row r="10" spans="1:15" ht="84" customHeight="1">
      <c r="A10" s="43">
        <v>42063</v>
      </c>
      <c r="B10" s="43" t="s">
        <v>205</v>
      </c>
      <c r="C10" s="43"/>
      <c r="D10" s="43" t="s">
        <v>206</v>
      </c>
      <c r="E10" s="43" t="s">
        <v>99</v>
      </c>
      <c r="F10" s="43" t="s">
        <v>77</v>
      </c>
      <c r="G10" s="43"/>
      <c r="H10" s="43"/>
      <c r="I10" s="43" t="s">
        <v>207</v>
      </c>
      <c r="J10" s="43" t="s">
        <v>97</v>
      </c>
      <c r="K10" s="43" t="s">
        <v>189</v>
      </c>
      <c r="L10" s="43" t="s">
        <v>190</v>
      </c>
      <c r="M10" s="43" t="s">
        <v>198</v>
      </c>
      <c r="N10" s="43"/>
      <c r="O10" s="43"/>
    </row>
    <row r="11" spans="1:15" ht="264" customHeight="1">
      <c r="A11" s="43">
        <v>42062</v>
      </c>
      <c r="B11" s="43" t="s">
        <v>205</v>
      </c>
      <c r="C11" s="43"/>
      <c r="D11" s="43" t="s">
        <v>208</v>
      </c>
      <c r="E11" s="43" t="s">
        <v>99</v>
      </c>
      <c r="F11" s="43" t="s">
        <v>77</v>
      </c>
      <c r="G11" s="43"/>
      <c r="H11" s="43"/>
      <c r="I11" s="43" t="s">
        <v>209</v>
      </c>
      <c r="J11" s="43" t="s">
        <v>97</v>
      </c>
      <c r="K11" s="43" t="s">
        <v>189</v>
      </c>
      <c r="L11" s="43" t="s">
        <v>190</v>
      </c>
      <c r="M11" s="43" t="s">
        <v>198</v>
      </c>
      <c r="N11" s="43"/>
      <c r="O11" s="43"/>
    </row>
    <row r="12" spans="1:15" ht="264" customHeight="1">
      <c r="A12" s="43">
        <v>42061</v>
      </c>
      <c r="B12" s="43" t="s">
        <v>186</v>
      </c>
      <c r="C12" s="43"/>
      <c r="D12" s="43" t="s">
        <v>210</v>
      </c>
      <c r="E12" s="43" t="s">
        <v>99</v>
      </c>
      <c r="F12" s="43" t="s">
        <v>77</v>
      </c>
      <c r="G12" s="43"/>
      <c r="H12" s="43"/>
      <c r="I12" s="43" t="s">
        <v>211</v>
      </c>
      <c r="J12" s="43" t="s">
        <v>97</v>
      </c>
      <c r="K12" s="43" t="s">
        <v>189</v>
      </c>
      <c r="L12" s="43" t="s">
        <v>190</v>
      </c>
      <c r="M12" s="43" t="s">
        <v>198</v>
      </c>
      <c r="N12" s="43"/>
      <c r="O12" s="43"/>
    </row>
    <row r="13" spans="1:15" ht="72" customHeight="1">
      <c r="A13" s="43">
        <v>42052</v>
      </c>
      <c r="B13" s="43" t="s">
        <v>186</v>
      </c>
      <c r="C13" s="43"/>
      <c r="D13" s="43" t="s">
        <v>212</v>
      </c>
      <c r="E13" s="43" t="s">
        <v>99</v>
      </c>
      <c r="F13" s="43" t="s">
        <v>77</v>
      </c>
      <c r="G13" s="43"/>
      <c r="H13" s="43"/>
      <c r="I13" s="43" t="s">
        <v>213</v>
      </c>
      <c r="J13" s="43" t="s">
        <v>97</v>
      </c>
      <c r="K13" s="43" t="s">
        <v>189</v>
      </c>
      <c r="L13" s="43" t="s">
        <v>190</v>
      </c>
      <c r="M13" s="43" t="s">
        <v>214</v>
      </c>
      <c r="N13" s="43"/>
      <c r="O13" s="43"/>
    </row>
    <row r="14" spans="1:15" ht="84" customHeight="1">
      <c r="A14" s="43">
        <v>42051</v>
      </c>
      <c r="B14" s="43" t="s">
        <v>186</v>
      </c>
      <c r="C14" s="43"/>
      <c r="D14" s="43" t="s">
        <v>215</v>
      </c>
      <c r="E14" s="43" t="s">
        <v>99</v>
      </c>
      <c r="F14" s="43" t="s">
        <v>101</v>
      </c>
      <c r="G14" s="43"/>
      <c r="H14" s="43"/>
      <c r="I14" s="43" t="s">
        <v>216</v>
      </c>
      <c r="J14" s="43" t="s">
        <v>97</v>
      </c>
      <c r="K14" s="43" t="s">
        <v>189</v>
      </c>
      <c r="L14" s="43" t="s">
        <v>190</v>
      </c>
      <c r="M14" s="43" t="s">
        <v>198</v>
      </c>
      <c r="N14" s="43"/>
      <c r="O14" s="43"/>
    </row>
    <row r="15" spans="1:15" ht="168" customHeight="1">
      <c r="A15" s="43">
        <v>42050</v>
      </c>
      <c r="B15" s="43" t="s">
        <v>186</v>
      </c>
      <c r="C15" s="43"/>
      <c r="D15" s="43" t="s">
        <v>217</v>
      </c>
      <c r="E15" s="43" t="s">
        <v>99</v>
      </c>
      <c r="F15" s="43" t="s">
        <v>101</v>
      </c>
      <c r="G15" s="43"/>
      <c r="H15" s="43"/>
      <c r="I15" s="43" t="s">
        <v>218</v>
      </c>
      <c r="J15" s="43" t="s">
        <v>97</v>
      </c>
      <c r="K15" s="43" t="s">
        <v>189</v>
      </c>
      <c r="L15" s="43" t="s">
        <v>190</v>
      </c>
      <c r="M15" s="43" t="s">
        <v>198</v>
      </c>
      <c r="N15" s="43"/>
      <c r="O15" s="43"/>
    </row>
    <row r="16" spans="1:15" ht="120" customHeight="1">
      <c r="A16" s="43">
        <v>42049</v>
      </c>
      <c r="B16" s="43" t="s">
        <v>186</v>
      </c>
      <c r="C16" s="43"/>
      <c r="D16" s="43" t="s">
        <v>219</v>
      </c>
      <c r="E16" s="43" t="s">
        <v>99</v>
      </c>
      <c r="F16" s="43" t="s">
        <v>101</v>
      </c>
      <c r="G16" s="43"/>
      <c r="H16" s="43"/>
      <c r="I16" s="43" t="s">
        <v>220</v>
      </c>
      <c r="J16" s="43" t="s">
        <v>97</v>
      </c>
      <c r="K16" s="43" t="s">
        <v>189</v>
      </c>
      <c r="L16" s="43" t="s">
        <v>190</v>
      </c>
      <c r="M16" s="43" t="s">
        <v>198</v>
      </c>
      <c r="N16" s="43"/>
      <c r="O16" s="43"/>
    </row>
    <row r="17" spans="1:15" ht="120" customHeight="1">
      <c r="A17" s="43">
        <v>42048</v>
      </c>
      <c r="B17" s="43" t="s">
        <v>186</v>
      </c>
      <c r="C17" s="43"/>
      <c r="D17" s="43" t="s">
        <v>221</v>
      </c>
      <c r="E17" s="43" t="s">
        <v>99</v>
      </c>
      <c r="F17" s="43" t="s">
        <v>101</v>
      </c>
      <c r="G17" s="43"/>
      <c r="H17" s="43"/>
      <c r="I17" s="43" t="s">
        <v>222</v>
      </c>
      <c r="J17" s="43" t="s">
        <v>97</v>
      </c>
      <c r="K17" s="43" t="s">
        <v>189</v>
      </c>
      <c r="L17" s="43" t="s">
        <v>190</v>
      </c>
      <c r="M17" s="43" t="s">
        <v>198</v>
      </c>
      <c r="N17" s="43"/>
      <c r="O17" s="43"/>
    </row>
    <row r="18" spans="1:15" ht="96" customHeight="1">
      <c r="A18" s="43">
        <v>42047</v>
      </c>
      <c r="B18" s="43" t="s">
        <v>186</v>
      </c>
      <c r="C18" s="43"/>
      <c r="D18" s="43" t="s">
        <v>223</v>
      </c>
      <c r="E18" s="43" t="s">
        <v>99</v>
      </c>
      <c r="F18" s="43" t="s">
        <v>101</v>
      </c>
      <c r="G18" s="43"/>
      <c r="H18" s="43"/>
      <c r="I18" s="43" t="s">
        <v>224</v>
      </c>
      <c r="J18" s="43" t="s">
        <v>97</v>
      </c>
      <c r="K18" s="43" t="s">
        <v>189</v>
      </c>
      <c r="L18" s="43" t="s">
        <v>190</v>
      </c>
      <c r="M18" s="43" t="s">
        <v>198</v>
      </c>
      <c r="N18" s="43"/>
      <c r="O18" s="43"/>
    </row>
    <row r="19" spans="1:15" ht="84" customHeight="1">
      <c r="A19" s="43">
        <v>42046</v>
      </c>
      <c r="B19" s="43" t="s">
        <v>186</v>
      </c>
      <c r="C19" s="43"/>
      <c r="D19" s="43" t="s">
        <v>225</v>
      </c>
      <c r="E19" s="43" t="s">
        <v>99</v>
      </c>
      <c r="F19" s="43" t="s">
        <v>101</v>
      </c>
      <c r="G19" s="43"/>
      <c r="H19" s="43"/>
      <c r="I19" s="43" t="s">
        <v>226</v>
      </c>
      <c r="J19" s="43" t="s">
        <v>97</v>
      </c>
      <c r="K19" s="43" t="s">
        <v>189</v>
      </c>
      <c r="L19" s="43" t="s">
        <v>190</v>
      </c>
      <c r="M19" s="43" t="s">
        <v>227</v>
      </c>
      <c r="N19" s="43"/>
      <c r="O19" s="43"/>
    </row>
    <row r="20" spans="1:15" ht="108" customHeight="1">
      <c r="A20" s="43">
        <v>41281</v>
      </c>
      <c r="B20" s="43" t="s">
        <v>228</v>
      </c>
      <c r="C20" s="43"/>
      <c r="D20" s="43" t="s">
        <v>229</v>
      </c>
      <c r="E20" s="43" t="s">
        <v>99</v>
      </c>
      <c r="F20" s="43" t="s">
        <v>101</v>
      </c>
      <c r="G20" s="43"/>
      <c r="H20" s="43"/>
      <c r="I20" s="43" t="s">
        <v>230</v>
      </c>
      <c r="J20" s="43" t="s">
        <v>97</v>
      </c>
      <c r="K20" s="43" t="s">
        <v>231</v>
      </c>
      <c r="L20" s="43" t="s">
        <v>232</v>
      </c>
      <c r="M20" s="43" t="s">
        <v>214</v>
      </c>
      <c r="N20" s="43"/>
      <c r="O20" s="43"/>
    </row>
    <row r="21" spans="1:15" ht="84" customHeight="1">
      <c r="A21" s="43">
        <v>41234</v>
      </c>
      <c r="B21" s="43" t="s">
        <v>233</v>
      </c>
      <c r="C21" s="43"/>
      <c r="D21" s="43" t="s">
        <v>234</v>
      </c>
      <c r="E21" s="43" t="s">
        <v>99</v>
      </c>
      <c r="F21" s="43" t="s">
        <v>101</v>
      </c>
      <c r="G21" s="43"/>
      <c r="H21" s="43"/>
      <c r="I21" s="43" t="s">
        <v>235</v>
      </c>
      <c r="J21" s="43" t="s">
        <v>97</v>
      </c>
      <c r="K21" s="43" t="s">
        <v>231</v>
      </c>
      <c r="L21" s="43" t="s">
        <v>232</v>
      </c>
      <c r="M21" s="43" t="s">
        <v>104</v>
      </c>
      <c r="N21" s="43"/>
      <c r="O21" s="43"/>
    </row>
    <row r="22" spans="1:15" ht="216" customHeight="1">
      <c r="A22" s="43">
        <v>41219</v>
      </c>
      <c r="B22" s="43" t="s">
        <v>236</v>
      </c>
      <c r="C22" s="43"/>
      <c r="D22" s="43" t="s">
        <v>237</v>
      </c>
      <c r="E22" s="43" t="s">
        <v>99</v>
      </c>
      <c r="F22" s="43" t="s">
        <v>101</v>
      </c>
      <c r="G22" s="43"/>
      <c r="H22" s="43"/>
      <c r="I22" s="43" t="s">
        <v>238</v>
      </c>
      <c r="J22" s="43" t="s">
        <v>97</v>
      </c>
      <c r="K22" s="43" t="s">
        <v>231</v>
      </c>
      <c r="L22" s="43" t="s">
        <v>232</v>
      </c>
      <c r="M22" s="43" t="s">
        <v>239</v>
      </c>
      <c r="N22" s="43"/>
      <c r="O22" s="43"/>
    </row>
    <row r="23" spans="1:15" ht="96" customHeight="1">
      <c r="A23" s="43">
        <v>41218</v>
      </c>
      <c r="B23" s="43" t="s">
        <v>236</v>
      </c>
      <c r="C23" s="43"/>
      <c r="D23" s="43" t="s">
        <v>240</v>
      </c>
      <c r="E23" s="43" t="s">
        <v>99</v>
      </c>
      <c r="F23" s="43" t="s">
        <v>101</v>
      </c>
      <c r="G23" s="43"/>
      <c r="H23" s="43"/>
      <c r="I23" s="43" t="s">
        <v>241</v>
      </c>
      <c r="J23" s="43" t="s">
        <v>97</v>
      </c>
      <c r="K23" s="43" t="s">
        <v>231</v>
      </c>
      <c r="L23" s="43" t="s">
        <v>232</v>
      </c>
      <c r="M23" s="43" t="s">
        <v>239</v>
      </c>
      <c r="N23" s="43"/>
      <c r="O23" s="43"/>
    </row>
    <row r="24" spans="1:15" ht="192" customHeight="1">
      <c r="A24" s="43">
        <v>41165</v>
      </c>
      <c r="B24" s="43" t="s">
        <v>242</v>
      </c>
      <c r="C24" s="43"/>
      <c r="D24" s="43" t="s">
        <v>243</v>
      </c>
      <c r="E24" s="43" t="s">
        <v>99</v>
      </c>
      <c r="F24" s="43" t="s">
        <v>101</v>
      </c>
      <c r="G24" s="43"/>
      <c r="H24" s="43"/>
      <c r="I24" s="43" t="s">
        <v>244</v>
      </c>
      <c r="J24" s="43" t="s">
        <v>97</v>
      </c>
      <c r="K24" s="43" t="s">
        <v>231</v>
      </c>
      <c r="L24" s="43" t="s">
        <v>190</v>
      </c>
      <c r="M24" s="43" t="s">
        <v>245</v>
      </c>
      <c r="N24" s="43"/>
      <c r="O24" s="43"/>
    </row>
    <row r="25" spans="1:15" ht="168" customHeight="1">
      <c r="A25" s="43">
        <v>41150</v>
      </c>
      <c r="B25" s="43" t="s">
        <v>246</v>
      </c>
      <c r="C25" s="43"/>
      <c r="D25" s="43" t="s">
        <v>247</v>
      </c>
      <c r="E25" s="43" t="s">
        <v>99</v>
      </c>
      <c r="F25" s="43" t="s">
        <v>101</v>
      </c>
      <c r="G25" s="43"/>
      <c r="H25" s="43"/>
      <c r="I25" s="43" t="s">
        <v>248</v>
      </c>
      <c r="J25" s="43" t="s">
        <v>97</v>
      </c>
      <c r="K25" s="43" t="s">
        <v>231</v>
      </c>
      <c r="L25" s="43" t="s">
        <v>232</v>
      </c>
      <c r="M25" s="43" t="s">
        <v>249</v>
      </c>
      <c r="N25" s="43" t="s">
        <v>250</v>
      </c>
      <c r="O25" s="43"/>
    </row>
    <row r="26" spans="1:15" ht="120" customHeight="1">
      <c r="A26" s="43">
        <v>41089</v>
      </c>
      <c r="B26" s="43" t="s">
        <v>251</v>
      </c>
      <c r="C26" s="43"/>
      <c r="D26" s="43" t="s">
        <v>252</v>
      </c>
      <c r="E26" s="43" t="s">
        <v>95</v>
      </c>
      <c r="F26" s="43" t="s">
        <v>101</v>
      </c>
      <c r="G26" s="43"/>
      <c r="H26" s="43"/>
      <c r="I26" s="43" t="s">
        <v>253</v>
      </c>
      <c r="J26" s="43" t="s">
        <v>97</v>
      </c>
      <c r="K26" s="43" t="s">
        <v>231</v>
      </c>
      <c r="L26" s="43" t="s">
        <v>190</v>
      </c>
      <c r="M26" s="43" t="s">
        <v>245</v>
      </c>
      <c r="N26" s="43"/>
      <c r="O26" s="43"/>
    </row>
    <row r="27" spans="1:15" ht="132" customHeight="1">
      <c r="A27" s="43">
        <v>40379</v>
      </c>
      <c r="B27" s="43" t="s">
        <v>186</v>
      </c>
      <c r="C27" s="43"/>
      <c r="D27" s="43" t="s">
        <v>254</v>
      </c>
      <c r="E27" s="43" t="s">
        <v>99</v>
      </c>
      <c r="F27" s="43" t="s">
        <v>101</v>
      </c>
      <c r="G27" s="43"/>
      <c r="H27" s="43"/>
      <c r="I27" s="43" t="s">
        <v>255</v>
      </c>
      <c r="J27" s="43" t="s">
        <v>97</v>
      </c>
      <c r="K27" s="43" t="s">
        <v>98</v>
      </c>
      <c r="L27" s="43" t="s">
        <v>256</v>
      </c>
      <c r="M27" s="43" t="s">
        <v>239</v>
      </c>
      <c r="N27" s="43"/>
      <c r="O27" s="43"/>
    </row>
    <row r="28" spans="1:15" ht="108" customHeight="1">
      <c r="A28" s="43">
        <v>40378</v>
      </c>
      <c r="B28" s="43" t="s">
        <v>186</v>
      </c>
      <c r="C28" s="43"/>
      <c r="D28" s="43" t="s">
        <v>257</v>
      </c>
      <c r="E28" s="43" t="s">
        <v>99</v>
      </c>
      <c r="F28" s="43" t="s">
        <v>101</v>
      </c>
      <c r="G28" s="43"/>
      <c r="H28" s="43"/>
      <c r="I28" s="43" t="s">
        <v>258</v>
      </c>
      <c r="J28" s="43" t="s">
        <v>97</v>
      </c>
      <c r="K28" s="43" t="s">
        <v>98</v>
      </c>
      <c r="L28" s="43" t="s">
        <v>256</v>
      </c>
      <c r="M28" s="43" t="s">
        <v>239</v>
      </c>
      <c r="N28" s="43"/>
      <c r="O28" s="43"/>
    </row>
    <row r="29" spans="1:15" ht="132" customHeight="1">
      <c r="A29" s="43">
        <v>39223</v>
      </c>
      <c r="B29" s="43" t="s">
        <v>259</v>
      </c>
      <c r="C29" s="43"/>
      <c r="D29" s="43" t="s">
        <v>260</v>
      </c>
      <c r="E29" s="43" t="s">
        <v>95</v>
      </c>
      <c r="F29" s="43" t="s">
        <v>101</v>
      </c>
      <c r="G29" s="43"/>
      <c r="H29" s="43"/>
      <c r="I29" s="43" t="s">
        <v>261</v>
      </c>
      <c r="J29" s="43" t="s">
        <v>97</v>
      </c>
      <c r="K29" s="43" t="s">
        <v>262</v>
      </c>
      <c r="L29" s="43" t="s">
        <v>263</v>
      </c>
      <c r="M29" s="43" t="s">
        <v>262</v>
      </c>
      <c r="N29" s="43"/>
      <c r="O29" s="43"/>
    </row>
    <row r="30" spans="1:15" ht="132" customHeight="1">
      <c r="A30" s="43">
        <v>39205</v>
      </c>
      <c r="B30" s="43" t="s">
        <v>236</v>
      </c>
      <c r="C30" s="43"/>
      <c r="D30" s="43" t="s">
        <v>264</v>
      </c>
      <c r="E30" s="43" t="s">
        <v>99</v>
      </c>
      <c r="F30" s="43" t="s">
        <v>101</v>
      </c>
      <c r="G30" s="43"/>
      <c r="H30" s="43"/>
      <c r="I30" s="43" t="s">
        <v>264</v>
      </c>
      <c r="J30" s="43" t="s">
        <v>97</v>
      </c>
      <c r="K30" s="43" t="s">
        <v>262</v>
      </c>
      <c r="L30" s="43" t="s">
        <v>265</v>
      </c>
      <c r="M30" s="43" t="s">
        <v>239</v>
      </c>
      <c r="N30" s="43"/>
      <c r="O30" s="43"/>
    </row>
    <row r="31" spans="1:15" ht="84" customHeight="1">
      <c r="A31" s="43">
        <v>39203</v>
      </c>
      <c r="B31" s="43" t="s">
        <v>236</v>
      </c>
      <c r="C31" s="43"/>
      <c r="D31" s="43" t="s">
        <v>266</v>
      </c>
      <c r="E31" s="43" t="s">
        <v>99</v>
      </c>
      <c r="F31" s="43" t="s">
        <v>101</v>
      </c>
      <c r="G31" s="43"/>
      <c r="H31" s="43"/>
      <c r="I31" s="43" t="s">
        <v>266</v>
      </c>
      <c r="J31" s="43" t="s">
        <v>97</v>
      </c>
      <c r="K31" s="43" t="s">
        <v>262</v>
      </c>
      <c r="L31" s="43" t="s">
        <v>265</v>
      </c>
      <c r="M31" s="43" t="s">
        <v>239</v>
      </c>
      <c r="N31" s="43"/>
      <c r="O31" s="43"/>
    </row>
    <row r="32" spans="1:15" ht="120" customHeight="1">
      <c r="A32" s="43">
        <v>37710</v>
      </c>
      <c r="B32" s="43" t="s">
        <v>236</v>
      </c>
      <c r="C32" s="43"/>
      <c r="D32" s="43" t="s">
        <v>267</v>
      </c>
      <c r="E32" s="43" t="s">
        <v>99</v>
      </c>
      <c r="F32" s="43" t="s">
        <v>100</v>
      </c>
      <c r="G32" s="43"/>
      <c r="H32" s="43"/>
      <c r="I32" s="43" t="s">
        <v>268</v>
      </c>
      <c r="J32" s="43" t="s">
        <v>97</v>
      </c>
      <c r="K32" s="43" t="s">
        <v>269</v>
      </c>
      <c r="L32" s="43" t="s">
        <v>270</v>
      </c>
      <c r="M32" s="43" t="s">
        <v>239</v>
      </c>
      <c r="N32" s="43" t="s">
        <v>271</v>
      </c>
      <c r="O32" s="43"/>
    </row>
    <row r="33" spans="1:15" ht="120" customHeight="1">
      <c r="A33" s="43">
        <v>37613</v>
      </c>
      <c r="B33" s="43" t="s">
        <v>236</v>
      </c>
      <c r="C33" s="43"/>
      <c r="D33" s="43" t="s">
        <v>272</v>
      </c>
      <c r="E33" s="43" t="s">
        <v>99</v>
      </c>
      <c r="F33" s="43" t="s">
        <v>101</v>
      </c>
      <c r="G33" s="43"/>
      <c r="H33" s="43"/>
      <c r="I33" s="43" t="s">
        <v>273</v>
      </c>
      <c r="J33" s="43" t="s">
        <v>97</v>
      </c>
      <c r="K33" s="43" t="s">
        <v>269</v>
      </c>
      <c r="L33" s="43" t="s">
        <v>274</v>
      </c>
      <c r="M33" s="43" t="s">
        <v>239</v>
      </c>
      <c r="N33" s="43"/>
      <c r="O33" s="43"/>
    </row>
    <row r="34" spans="1:15" ht="96" customHeight="1">
      <c r="A34" s="43">
        <v>37611</v>
      </c>
      <c r="B34" s="43" t="s">
        <v>236</v>
      </c>
      <c r="C34" s="43"/>
      <c r="D34" s="43" t="s">
        <v>275</v>
      </c>
      <c r="E34" s="43" t="s">
        <v>99</v>
      </c>
      <c r="F34" s="43" t="s">
        <v>101</v>
      </c>
      <c r="G34" s="43"/>
      <c r="H34" s="43"/>
      <c r="I34" s="43" t="s">
        <v>276</v>
      </c>
      <c r="J34" s="43" t="s">
        <v>97</v>
      </c>
      <c r="K34" s="43" t="s">
        <v>269</v>
      </c>
      <c r="L34" s="43" t="s">
        <v>274</v>
      </c>
      <c r="M34" s="43" t="s">
        <v>239</v>
      </c>
      <c r="N34" s="43"/>
      <c r="O34" s="43"/>
    </row>
    <row r="35" spans="1:15" ht="96" customHeight="1">
      <c r="A35" s="43">
        <v>37217</v>
      </c>
      <c r="B35" s="43" t="s">
        <v>277</v>
      </c>
      <c r="C35" s="43"/>
      <c r="D35" s="43" t="s">
        <v>278</v>
      </c>
      <c r="E35" s="43" t="s">
        <v>99</v>
      </c>
      <c r="F35" s="43" t="s">
        <v>100</v>
      </c>
      <c r="G35" s="43"/>
      <c r="H35" s="43"/>
      <c r="I35" s="43" t="s">
        <v>279</v>
      </c>
      <c r="J35" s="43" t="s">
        <v>97</v>
      </c>
      <c r="K35" s="43" t="s">
        <v>269</v>
      </c>
      <c r="L35" s="43" t="s">
        <v>280</v>
      </c>
      <c r="M35" s="43" t="s">
        <v>191</v>
      </c>
      <c r="N35" s="43" t="s">
        <v>281</v>
      </c>
      <c r="O35" s="43"/>
    </row>
    <row r="36" spans="1:15" ht="120" customHeight="1">
      <c r="A36" s="43">
        <v>37216</v>
      </c>
      <c r="B36" s="43" t="s">
        <v>277</v>
      </c>
      <c r="C36" s="43"/>
      <c r="D36" s="43" t="s">
        <v>282</v>
      </c>
      <c r="E36" s="43" t="s">
        <v>99</v>
      </c>
      <c r="F36" s="43" t="s">
        <v>100</v>
      </c>
      <c r="G36" s="43"/>
      <c r="H36" s="43"/>
      <c r="I36" s="43" t="s">
        <v>283</v>
      </c>
      <c r="J36" s="43" t="s">
        <v>97</v>
      </c>
      <c r="K36" s="43" t="s">
        <v>269</v>
      </c>
      <c r="L36" s="43" t="s">
        <v>280</v>
      </c>
      <c r="M36" s="43" t="s">
        <v>191</v>
      </c>
      <c r="N36" s="43" t="s">
        <v>284</v>
      </c>
      <c r="O36" s="43"/>
    </row>
    <row r="37" spans="1:15" ht="108" customHeight="1">
      <c r="A37" s="43">
        <v>37215</v>
      </c>
      <c r="B37" s="43" t="s">
        <v>277</v>
      </c>
      <c r="C37" s="43"/>
      <c r="D37" s="43" t="s">
        <v>285</v>
      </c>
      <c r="E37" s="43" t="s">
        <v>99</v>
      </c>
      <c r="F37" s="43" t="s">
        <v>100</v>
      </c>
      <c r="G37" s="43"/>
      <c r="H37" s="43"/>
      <c r="I37" s="43" t="s">
        <v>286</v>
      </c>
      <c r="J37" s="43" t="s">
        <v>97</v>
      </c>
      <c r="K37" s="43" t="s">
        <v>269</v>
      </c>
      <c r="L37" s="43" t="s">
        <v>287</v>
      </c>
      <c r="M37" s="43" t="s">
        <v>191</v>
      </c>
      <c r="N37" s="43" t="s">
        <v>288</v>
      </c>
      <c r="O37" s="43"/>
    </row>
    <row r="38" spans="1:15" ht="72" customHeight="1">
      <c r="A38" s="43">
        <v>37214</v>
      </c>
      <c r="B38" s="43" t="s">
        <v>277</v>
      </c>
      <c r="C38" s="43"/>
      <c r="D38" s="43" t="s">
        <v>289</v>
      </c>
      <c r="E38" s="43" t="s">
        <v>99</v>
      </c>
      <c r="F38" s="43" t="s">
        <v>100</v>
      </c>
      <c r="G38" s="43"/>
      <c r="H38" s="43"/>
      <c r="I38" s="43" t="s">
        <v>290</v>
      </c>
      <c r="J38" s="43" t="s">
        <v>97</v>
      </c>
      <c r="K38" s="43" t="s">
        <v>269</v>
      </c>
      <c r="L38" s="43" t="s">
        <v>287</v>
      </c>
      <c r="M38" s="43" t="s">
        <v>191</v>
      </c>
      <c r="N38" s="43" t="s">
        <v>291</v>
      </c>
      <c r="O38" s="43"/>
    </row>
    <row r="39" spans="1:15" ht="108" customHeight="1">
      <c r="A39" s="43">
        <v>37188</v>
      </c>
      <c r="B39" s="43" t="s">
        <v>236</v>
      </c>
      <c r="C39" s="43"/>
      <c r="D39" s="43" t="s">
        <v>292</v>
      </c>
      <c r="E39" s="43" t="s">
        <v>99</v>
      </c>
      <c r="F39" s="43" t="s">
        <v>101</v>
      </c>
      <c r="G39" s="43"/>
      <c r="H39" s="43"/>
      <c r="I39" s="43" t="s">
        <v>293</v>
      </c>
      <c r="J39" s="43" t="s">
        <v>97</v>
      </c>
      <c r="K39" s="43" t="s">
        <v>269</v>
      </c>
      <c r="L39" s="43" t="s">
        <v>270</v>
      </c>
      <c r="M39" s="43" t="s">
        <v>239</v>
      </c>
      <c r="N39" s="43"/>
      <c r="O39" s="43"/>
    </row>
    <row r="40" spans="1:15" ht="108" customHeight="1">
      <c r="A40" s="43">
        <v>41280</v>
      </c>
      <c r="B40" s="43" t="s">
        <v>294</v>
      </c>
      <c r="C40" s="43"/>
      <c r="D40" s="43" t="s">
        <v>295</v>
      </c>
      <c r="E40" s="43" t="s">
        <v>99</v>
      </c>
      <c r="F40" s="43" t="s">
        <v>101</v>
      </c>
      <c r="G40" s="43"/>
      <c r="H40" s="43"/>
      <c r="I40" s="43" t="s">
        <v>296</v>
      </c>
      <c r="J40" s="43" t="s">
        <v>297</v>
      </c>
      <c r="K40" s="43" t="s">
        <v>231</v>
      </c>
      <c r="L40" s="43" t="s">
        <v>232</v>
      </c>
      <c r="M40" s="43" t="s">
        <v>231</v>
      </c>
      <c r="N40" s="43"/>
      <c r="O40" s="43" t="s">
        <v>298</v>
      </c>
    </row>
    <row r="41" spans="1:15" ht="158.4">
      <c r="A41" s="1">
        <v>41279</v>
      </c>
      <c r="B41" s="1" t="s">
        <v>236</v>
      </c>
      <c r="D41" s="1" t="s">
        <v>299</v>
      </c>
      <c r="E41" s="1" t="s">
        <v>99</v>
      </c>
      <c r="F41" s="1" t="s">
        <v>101</v>
      </c>
      <c r="I41" s="111" t="s">
        <v>300</v>
      </c>
      <c r="J41" s="1" t="s">
        <v>297</v>
      </c>
      <c r="K41" s="1" t="s">
        <v>231</v>
      </c>
      <c r="L41" s="1" t="s">
        <v>190</v>
      </c>
      <c r="M41" s="1" t="s">
        <v>231</v>
      </c>
      <c r="O41" s="1" t="s">
        <v>301</v>
      </c>
    </row>
    <row r="42" spans="1:15" ht="237.6">
      <c r="A42" s="1">
        <v>41271</v>
      </c>
      <c r="B42" s="1" t="s">
        <v>259</v>
      </c>
      <c r="D42" s="1" t="s">
        <v>302</v>
      </c>
      <c r="E42" s="1" t="s">
        <v>99</v>
      </c>
      <c r="F42" s="1" t="s">
        <v>101</v>
      </c>
      <c r="I42" s="111" t="s">
        <v>303</v>
      </c>
      <c r="J42" s="1" t="s">
        <v>297</v>
      </c>
      <c r="K42" s="1" t="s">
        <v>231</v>
      </c>
      <c r="L42" s="1" t="s">
        <v>304</v>
      </c>
      <c r="M42" s="1" t="s">
        <v>231</v>
      </c>
      <c r="N42" s="1" t="s">
        <v>305</v>
      </c>
      <c r="O42" s="1" t="s">
        <v>297</v>
      </c>
    </row>
    <row r="43" spans="1:15" ht="303.60000000000002">
      <c r="A43" s="1">
        <v>41243</v>
      </c>
      <c r="B43" s="1" t="s">
        <v>306</v>
      </c>
      <c r="D43" s="1" t="s">
        <v>307</v>
      </c>
      <c r="E43" s="1" t="s">
        <v>99</v>
      </c>
      <c r="F43" s="1" t="s">
        <v>101</v>
      </c>
      <c r="I43" s="111" t="s">
        <v>308</v>
      </c>
      <c r="J43" s="1" t="s">
        <v>297</v>
      </c>
      <c r="K43" s="1" t="s">
        <v>231</v>
      </c>
      <c r="L43" s="1" t="s">
        <v>232</v>
      </c>
      <c r="M43" s="1" t="s">
        <v>231</v>
      </c>
      <c r="O43" s="1" t="s">
        <v>297</v>
      </c>
    </row>
    <row r="44" spans="1:15" ht="343.2">
      <c r="A44" s="1">
        <v>41236</v>
      </c>
      <c r="B44" s="1" t="s">
        <v>309</v>
      </c>
      <c r="D44" s="1" t="s">
        <v>310</v>
      </c>
      <c r="E44" s="1" t="s">
        <v>99</v>
      </c>
      <c r="F44" s="1" t="s">
        <v>101</v>
      </c>
      <c r="I44" s="111" t="s">
        <v>311</v>
      </c>
      <c r="J44" s="1" t="s">
        <v>297</v>
      </c>
      <c r="K44" s="1" t="s">
        <v>231</v>
      </c>
      <c r="L44" s="1" t="s">
        <v>304</v>
      </c>
      <c r="M44" s="1" t="s">
        <v>231</v>
      </c>
      <c r="N44" s="1" t="s">
        <v>312</v>
      </c>
      <c r="O44" s="1" t="s">
        <v>297</v>
      </c>
    </row>
    <row r="45" spans="1:15" ht="211.2">
      <c r="A45" s="1">
        <v>41229</v>
      </c>
      <c r="B45" s="1" t="s">
        <v>313</v>
      </c>
      <c r="D45" s="1" t="s">
        <v>314</v>
      </c>
      <c r="E45" s="1" t="s">
        <v>99</v>
      </c>
      <c r="F45" s="1" t="s">
        <v>101</v>
      </c>
      <c r="I45" s="111" t="s">
        <v>315</v>
      </c>
      <c r="J45" s="1" t="s">
        <v>297</v>
      </c>
      <c r="K45" s="1" t="s">
        <v>231</v>
      </c>
      <c r="L45" s="1" t="s">
        <v>304</v>
      </c>
      <c r="M45" s="1" t="s">
        <v>231</v>
      </c>
      <c r="N45" s="1" t="s">
        <v>316</v>
      </c>
      <c r="O45" s="1" t="s">
        <v>317</v>
      </c>
    </row>
    <row r="46" spans="1:15" ht="237.6">
      <c r="A46" s="1">
        <v>41217</v>
      </c>
      <c r="B46" s="1" t="s">
        <v>236</v>
      </c>
      <c r="D46" s="1" t="s">
        <v>318</v>
      </c>
      <c r="E46" s="1" t="s">
        <v>95</v>
      </c>
      <c r="F46" s="1" t="s">
        <v>101</v>
      </c>
      <c r="I46" s="111" t="s">
        <v>319</v>
      </c>
      <c r="J46" s="1" t="s">
        <v>297</v>
      </c>
      <c r="K46" s="1" t="s">
        <v>231</v>
      </c>
      <c r="L46" s="1" t="s">
        <v>232</v>
      </c>
      <c r="M46" s="1" t="s">
        <v>231</v>
      </c>
      <c r="O46" s="1" t="s">
        <v>297</v>
      </c>
    </row>
    <row r="47" spans="1:15" ht="198">
      <c r="A47" s="1">
        <v>41216</v>
      </c>
      <c r="B47" s="1" t="s">
        <v>294</v>
      </c>
      <c r="D47" s="1" t="s">
        <v>320</v>
      </c>
      <c r="E47" s="1" t="s">
        <v>99</v>
      </c>
      <c r="F47" s="1" t="s">
        <v>101</v>
      </c>
      <c r="I47" s="111" t="s">
        <v>321</v>
      </c>
      <c r="J47" s="1" t="s">
        <v>297</v>
      </c>
      <c r="K47" s="1" t="s">
        <v>231</v>
      </c>
      <c r="L47" s="1" t="s">
        <v>232</v>
      </c>
      <c r="M47" s="1" t="s">
        <v>231</v>
      </c>
      <c r="O47" s="1" t="s">
        <v>297</v>
      </c>
    </row>
    <row r="48" spans="1:15" ht="224.4">
      <c r="A48" s="1">
        <v>41215</v>
      </c>
      <c r="B48" s="1" t="s">
        <v>294</v>
      </c>
      <c r="D48" s="1" t="s">
        <v>322</v>
      </c>
      <c r="E48" s="1" t="s">
        <v>99</v>
      </c>
      <c r="F48" s="1" t="s">
        <v>101</v>
      </c>
      <c r="I48" s="111" t="s">
        <v>323</v>
      </c>
      <c r="J48" s="1" t="s">
        <v>297</v>
      </c>
      <c r="K48" s="1" t="s">
        <v>231</v>
      </c>
      <c r="L48" s="1" t="s">
        <v>232</v>
      </c>
      <c r="M48" s="1" t="s">
        <v>231</v>
      </c>
      <c r="O48" s="1" t="s">
        <v>297</v>
      </c>
    </row>
    <row r="49" spans="1:15" ht="211.2">
      <c r="A49" s="1">
        <v>41188</v>
      </c>
      <c r="B49" s="1" t="s">
        <v>246</v>
      </c>
      <c r="D49" s="1" t="s">
        <v>324</v>
      </c>
      <c r="E49" s="1" t="s">
        <v>99</v>
      </c>
      <c r="F49" s="1" t="s">
        <v>101</v>
      </c>
      <c r="I49" s="111" t="s">
        <v>325</v>
      </c>
      <c r="J49" s="1" t="s">
        <v>297</v>
      </c>
      <c r="K49" s="1" t="s">
        <v>231</v>
      </c>
      <c r="L49" s="1" t="s">
        <v>232</v>
      </c>
      <c r="M49" s="1" t="s">
        <v>231</v>
      </c>
      <c r="O49" s="1" t="s">
        <v>297</v>
      </c>
    </row>
    <row r="50" spans="1:15" ht="171.6">
      <c r="A50" s="1">
        <v>41187</v>
      </c>
      <c r="B50" s="1" t="s">
        <v>236</v>
      </c>
      <c r="D50" s="1" t="s">
        <v>326</v>
      </c>
      <c r="E50" s="1" t="s">
        <v>99</v>
      </c>
      <c r="F50" s="1" t="s">
        <v>101</v>
      </c>
      <c r="I50" s="111" t="s">
        <v>327</v>
      </c>
      <c r="J50" s="1" t="s">
        <v>297</v>
      </c>
      <c r="K50" s="1" t="s">
        <v>231</v>
      </c>
      <c r="L50" s="1" t="s">
        <v>232</v>
      </c>
      <c r="M50" s="1" t="s">
        <v>231</v>
      </c>
      <c r="N50" s="1" t="s">
        <v>328</v>
      </c>
      <c r="O50" s="1" t="s">
        <v>329</v>
      </c>
    </row>
    <row r="51" spans="1:15" ht="184.8">
      <c r="A51" s="1">
        <v>41176</v>
      </c>
      <c r="B51" s="1" t="s">
        <v>236</v>
      </c>
      <c r="D51" s="1" t="s">
        <v>330</v>
      </c>
      <c r="E51" s="1" t="s">
        <v>99</v>
      </c>
      <c r="F51" s="1" t="s">
        <v>101</v>
      </c>
      <c r="I51" s="111" t="s">
        <v>331</v>
      </c>
      <c r="J51" s="1" t="s">
        <v>297</v>
      </c>
      <c r="K51" s="1" t="s">
        <v>231</v>
      </c>
      <c r="L51" s="111" t="s">
        <v>332</v>
      </c>
      <c r="M51" s="1" t="s">
        <v>231</v>
      </c>
      <c r="O51" s="1" t="s">
        <v>298</v>
      </c>
    </row>
    <row r="52" spans="1:15" ht="277.2">
      <c r="A52" s="1">
        <v>41161</v>
      </c>
      <c r="B52" s="1" t="s">
        <v>333</v>
      </c>
      <c r="D52" s="1" t="s">
        <v>334</v>
      </c>
      <c r="E52" s="1" t="s">
        <v>95</v>
      </c>
      <c r="F52" s="1" t="s">
        <v>101</v>
      </c>
      <c r="I52" s="111" t="s">
        <v>335</v>
      </c>
      <c r="J52" s="1" t="s">
        <v>297</v>
      </c>
      <c r="K52" s="1" t="s">
        <v>231</v>
      </c>
      <c r="L52" s="1" t="s">
        <v>232</v>
      </c>
      <c r="M52" s="1" t="s">
        <v>231</v>
      </c>
      <c r="O52" s="1" t="s">
        <v>297</v>
      </c>
    </row>
    <row r="53" spans="1:15" ht="316.8">
      <c r="A53" s="1">
        <v>41113</v>
      </c>
      <c r="B53" s="1" t="s">
        <v>294</v>
      </c>
      <c r="D53" s="1" t="s">
        <v>336</v>
      </c>
      <c r="E53" s="1" t="s">
        <v>99</v>
      </c>
      <c r="F53" s="1" t="s">
        <v>101</v>
      </c>
      <c r="I53" s="111" t="s">
        <v>337</v>
      </c>
      <c r="J53" s="1" t="s">
        <v>297</v>
      </c>
      <c r="K53" s="1" t="s">
        <v>231</v>
      </c>
      <c r="L53" s="1" t="s">
        <v>232</v>
      </c>
      <c r="M53" s="1" t="s">
        <v>231</v>
      </c>
      <c r="O53" s="1" t="s">
        <v>338</v>
      </c>
    </row>
    <row r="54" spans="1:15" ht="237.6">
      <c r="A54" s="1">
        <v>41097</v>
      </c>
      <c r="B54" s="1" t="s">
        <v>306</v>
      </c>
      <c r="D54" s="1" t="s">
        <v>339</v>
      </c>
      <c r="E54" s="1" t="s">
        <v>99</v>
      </c>
      <c r="F54" s="1" t="s">
        <v>101</v>
      </c>
      <c r="I54" s="111" t="s">
        <v>340</v>
      </c>
      <c r="J54" s="1" t="s">
        <v>297</v>
      </c>
      <c r="K54" s="1" t="s">
        <v>231</v>
      </c>
      <c r="L54" s="1" t="s">
        <v>232</v>
      </c>
      <c r="M54" s="1" t="s">
        <v>231</v>
      </c>
      <c r="N54" s="1" t="s">
        <v>341</v>
      </c>
      <c r="O54" s="1" t="s">
        <v>317</v>
      </c>
    </row>
    <row r="55" spans="1:15" ht="171.6">
      <c r="A55" s="1">
        <v>41092</v>
      </c>
      <c r="B55" s="1" t="s">
        <v>342</v>
      </c>
      <c r="D55" s="1" t="s">
        <v>343</v>
      </c>
      <c r="E55" s="1" t="s">
        <v>99</v>
      </c>
      <c r="F55" s="1" t="s">
        <v>101</v>
      </c>
      <c r="I55" s="111" t="s">
        <v>344</v>
      </c>
      <c r="J55" s="1" t="s">
        <v>297</v>
      </c>
      <c r="K55" s="1" t="s">
        <v>231</v>
      </c>
      <c r="L55" s="1" t="s">
        <v>232</v>
      </c>
      <c r="M55" s="1" t="s">
        <v>231</v>
      </c>
      <c r="N55" s="1" t="s">
        <v>345</v>
      </c>
      <c r="O55" s="1" t="s">
        <v>317</v>
      </c>
    </row>
    <row r="56" spans="1:15" ht="171.6">
      <c r="A56" s="1">
        <v>41087</v>
      </c>
      <c r="B56" s="1" t="s">
        <v>342</v>
      </c>
      <c r="D56" s="1" t="s">
        <v>346</v>
      </c>
      <c r="E56" s="1" t="s">
        <v>99</v>
      </c>
      <c r="F56" s="1" t="s">
        <v>101</v>
      </c>
      <c r="I56" s="111" t="s">
        <v>347</v>
      </c>
      <c r="J56" s="1" t="s">
        <v>297</v>
      </c>
      <c r="K56" s="1" t="s">
        <v>231</v>
      </c>
      <c r="L56" s="1" t="s">
        <v>232</v>
      </c>
      <c r="M56" s="1" t="s">
        <v>231</v>
      </c>
      <c r="N56" s="1" t="s">
        <v>348</v>
      </c>
      <c r="O56" s="1" t="s">
        <v>338</v>
      </c>
    </row>
    <row r="57" spans="1:15" ht="158.4">
      <c r="A57" s="1">
        <v>41082</v>
      </c>
      <c r="B57" s="1" t="s">
        <v>233</v>
      </c>
      <c r="D57" s="1" t="s">
        <v>349</v>
      </c>
      <c r="E57" s="1" t="s">
        <v>99</v>
      </c>
      <c r="F57" s="1" t="s">
        <v>101</v>
      </c>
      <c r="I57" s="111" t="s">
        <v>350</v>
      </c>
      <c r="J57" s="1" t="s">
        <v>297</v>
      </c>
      <c r="K57" s="1" t="s">
        <v>231</v>
      </c>
      <c r="L57" s="1" t="s">
        <v>232</v>
      </c>
      <c r="M57" s="1" t="s">
        <v>231</v>
      </c>
      <c r="N57" s="1" t="s">
        <v>351</v>
      </c>
      <c r="O57" s="1" t="s">
        <v>298</v>
      </c>
    </row>
    <row r="58" spans="1:15" ht="237.6">
      <c r="A58" s="1">
        <v>41081</v>
      </c>
      <c r="B58" s="1" t="s">
        <v>233</v>
      </c>
      <c r="D58" s="1" t="s">
        <v>352</v>
      </c>
      <c r="E58" s="1" t="s">
        <v>99</v>
      </c>
      <c r="F58" s="1" t="s">
        <v>101</v>
      </c>
      <c r="I58" s="111" t="s">
        <v>353</v>
      </c>
      <c r="J58" s="1" t="s">
        <v>297</v>
      </c>
      <c r="K58" s="1" t="s">
        <v>231</v>
      </c>
      <c r="L58" s="1" t="s">
        <v>232</v>
      </c>
      <c r="M58" s="1" t="s">
        <v>231</v>
      </c>
      <c r="N58" s="1" t="s">
        <v>354</v>
      </c>
      <c r="O58" s="1" t="s">
        <v>317</v>
      </c>
    </row>
    <row r="59" spans="1:15" ht="224.4">
      <c r="A59" s="1">
        <v>41058</v>
      </c>
      <c r="B59" s="1" t="s">
        <v>306</v>
      </c>
      <c r="D59" s="1" t="s">
        <v>355</v>
      </c>
      <c r="E59" s="1" t="s">
        <v>95</v>
      </c>
      <c r="F59" s="1" t="s">
        <v>101</v>
      </c>
      <c r="I59" s="111" t="s">
        <v>356</v>
      </c>
      <c r="J59" s="1" t="s">
        <v>297</v>
      </c>
      <c r="K59" s="1" t="s">
        <v>231</v>
      </c>
      <c r="L59" s="1" t="s">
        <v>232</v>
      </c>
      <c r="M59" s="1" t="s">
        <v>231</v>
      </c>
      <c r="N59" s="1" t="s">
        <v>357</v>
      </c>
      <c r="O59" s="1" t="s">
        <v>297</v>
      </c>
    </row>
    <row r="60" spans="1:15" ht="224.4">
      <c r="A60" s="1">
        <v>40988</v>
      </c>
      <c r="B60" s="1" t="s">
        <v>294</v>
      </c>
      <c r="D60" s="1" t="s">
        <v>358</v>
      </c>
      <c r="E60" s="1" t="s">
        <v>95</v>
      </c>
      <c r="F60" s="1" t="s">
        <v>101</v>
      </c>
      <c r="I60" s="111" t="s">
        <v>359</v>
      </c>
      <c r="J60" s="1" t="s">
        <v>297</v>
      </c>
      <c r="K60" s="1" t="s">
        <v>231</v>
      </c>
      <c r="L60" s="1" t="s">
        <v>232</v>
      </c>
      <c r="M60" s="1" t="s">
        <v>231</v>
      </c>
      <c r="N60" s="1" t="s">
        <v>360</v>
      </c>
      <c r="O60" s="1" t="s">
        <v>317</v>
      </c>
    </row>
    <row r="61" spans="1:15" ht="145.19999999999999">
      <c r="A61" s="1">
        <v>40738</v>
      </c>
      <c r="B61" s="1" t="s">
        <v>186</v>
      </c>
      <c r="D61" s="1" t="s">
        <v>361</v>
      </c>
      <c r="E61" s="1" t="s">
        <v>99</v>
      </c>
      <c r="F61" s="1" t="s">
        <v>77</v>
      </c>
      <c r="I61" s="111" t="s">
        <v>362</v>
      </c>
      <c r="J61" s="1" t="s">
        <v>297</v>
      </c>
      <c r="K61" s="1" t="s">
        <v>363</v>
      </c>
      <c r="L61" s="1" t="s">
        <v>190</v>
      </c>
      <c r="M61" s="1" t="s">
        <v>262</v>
      </c>
      <c r="O61" s="1" t="s">
        <v>297</v>
      </c>
    </row>
    <row r="62" spans="1:15" ht="39.6">
      <c r="A62" s="1">
        <v>40369</v>
      </c>
      <c r="B62" s="1" t="s">
        <v>186</v>
      </c>
      <c r="D62" s="1" t="s">
        <v>364</v>
      </c>
      <c r="E62" s="1" t="s">
        <v>99</v>
      </c>
      <c r="F62" s="1" t="s">
        <v>101</v>
      </c>
      <c r="I62" s="111" t="s">
        <v>365</v>
      </c>
      <c r="J62" s="1" t="s">
        <v>297</v>
      </c>
      <c r="K62" s="1" t="s">
        <v>98</v>
      </c>
      <c r="L62" s="1" t="s">
        <v>190</v>
      </c>
      <c r="M62" s="1" t="s">
        <v>239</v>
      </c>
      <c r="O62" s="1" t="s">
        <v>297</v>
      </c>
    </row>
    <row r="63" spans="1:15" ht="79.2">
      <c r="A63" s="1">
        <v>40053</v>
      </c>
      <c r="B63" s="1" t="s">
        <v>186</v>
      </c>
      <c r="D63" s="1" t="s">
        <v>366</v>
      </c>
      <c r="E63" s="1" t="s">
        <v>99</v>
      </c>
      <c r="F63" s="1" t="s">
        <v>77</v>
      </c>
      <c r="I63" s="111" t="s">
        <v>367</v>
      </c>
      <c r="J63" s="1" t="s">
        <v>297</v>
      </c>
      <c r="K63" s="1" t="s">
        <v>363</v>
      </c>
      <c r="L63" s="1" t="s">
        <v>190</v>
      </c>
      <c r="M63" s="1" t="s">
        <v>368</v>
      </c>
      <c r="O63" s="1" t="s">
        <v>297</v>
      </c>
    </row>
    <row r="64" spans="1:15" ht="171.6">
      <c r="A64" s="1">
        <v>39310</v>
      </c>
      <c r="B64" s="1" t="s">
        <v>236</v>
      </c>
      <c r="D64" s="1" t="s">
        <v>369</v>
      </c>
      <c r="E64" s="1" t="s">
        <v>99</v>
      </c>
      <c r="F64" s="1" t="s">
        <v>101</v>
      </c>
      <c r="I64" s="111" t="s">
        <v>370</v>
      </c>
      <c r="J64" s="1" t="s">
        <v>297</v>
      </c>
      <c r="K64" s="1" t="s">
        <v>269</v>
      </c>
      <c r="L64" s="1" t="s">
        <v>371</v>
      </c>
      <c r="M64" s="1" t="s">
        <v>231</v>
      </c>
      <c r="N64" s="1" t="s">
        <v>328</v>
      </c>
      <c r="O64" s="1" t="s">
        <v>329</v>
      </c>
    </row>
    <row r="65" spans="1:15" ht="158.4">
      <c r="A65" s="1">
        <v>39224</v>
      </c>
      <c r="B65" s="1" t="s">
        <v>259</v>
      </c>
      <c r="D65" s="1" t="s">
        <v>372</v>
      </c>
      <c r="E65" s="1" t="s">
        <v>99</v>
      </c>
      <c r="F65" s="1" t="s">
        <v>101</v>
      </c>
      <c r="I65" s="111" t="s">
        <v>373</v>
      </c>
      <c r="J65" s="1" t="s">
        <v>297</v>
      </c>
      <c r="K65" s="1" t="s">
        <v>262</v>
      </c>
      <c r="L65" s="1" t="s">
        <v>263</v>
      </c>
      <c r="M65" s="1" t="s">
        <v>231</v>
      </c>
      <c r="O65" s="1" t="s">
        <v>338</v>
      </c>
    </row>
    <row r="66" spans="1:15">
      <c r="A66" s="1">
        <v>39165</v>
      </c>
      <c r="B66" s="1" t="s">
        <v>259</v>
      </c>
      <c r="D66" s="1" t="s">
        <v>374</v>
      </c>
      <c r="E66" s="1" t="s">
        <v>99</v>
      </c>
      <c r="F66" s="1" t="s">
        <v>77</v>
      </c>
      <c r="I66" s="1" t="s">
        <v>374</v>
      </c>
      <c r="J66" s="1" t="s">
        <v>297</v>
      </c>
      <c r="K66" s="1" t="s">
        <v>262</v>
      </c>
      <c r="L66" s="1" t="s">
        <v>263</v>
      </c>
      <c r="M66" s="1" t="s">
        <v>231</v>
      </c>
      <c r="O66" s="1" t="s">
        <v>338</v>
      </c>
    </row>
    <row r="67" spans="1:15" ht="92.4">
      <c r="A67" s="1">
        <v>38080</v>
      </c>
      <c r="B67" s="1" t="s">
        <v>375</v>
      </c>
      <c r="D67" s="1" t="s">
        <v>376</v>
      </c>
      <c r="E67" s="1" t="s">
        <v>99</v>
      </c>
      <c r="F67" s="1" t="s">
        <v>100</v>
      </c>
      <c r="I67" s="111" t="s">
        <v>377</v>
      </c>
      <c r="J67" s="1" t="s">
        <v>297</v>
      </c>
      <c r="K67" s="1" t="s">
        <v>269</v>
      </c>
      <c r="L67" s="1" t="s">
        <v>378</v>
      </c>
      <c r="M67" s="1" t="s">
        <v>269</v>
      </c>
      <c r="N67" s="1" t="s">
        <v>379</v>
      </c>
      <c r="O67" s="1" t="s">
        <v>317</v>
      </c>
    </row>
    <row r="68" spans="1:15" ht="158.4">
      <c r="A68" s="1">
        <v>37958</v>
      </c>
      <c r="B68" s="1" t="s">
        <v>259</v>
      </c>
      <c r="D68" s="1" t="s">
        <v>380</v>
      </c>
      <c r="E68" s="1" t="s">
        <v>99</v>
      </c>
      <c r="F68" s="1" t="s">
        <v>100</v>
      </c>
      <c r="I68" s="111" t="s">
        <v>381</v>
      </c>
      <c r="J68" s="1" t="s">
        <v>297</v>
      </c>
      <c r="K68" s="1" t="s">
        <v>269</v>
      </c>
      <c r="L68" s="1" t="s">
        <v>378</v>
      </c>
      <c r="M68" s="1" t="s">
        <v>269</v>
      </c>
      <c r="O68" s="1" t="s">
        <v>297</v>
      </c>
    </row>
    <row r="69" spans="1:15" ht="224.4">
      <c r="A69" s="1">
        <v>37645</v>
      </c>
      <c r="B69" s="1" t="s">
        <v>382</v>
      </c>
      <c r="D69" s="1" t="s">
        <v>383</v>
      </c>
      <c r="E69" s="1" t="s">
        <v>99</v>
      </c>
      <c r="F69" s="1" t="s">
        <v>101</v>
      </c>
      <c r="I69" s="111" t="s">
        <v>384</v>
      </c>
      <c r="J69" s="1" t="s">
        <v>297</v>
      </c>
      <c r="K69" s="1" t="s">
        <v>385</v>
      </c>
      <c r="L69" s="1" t="s">
        <v>386</v>
      </c>
      <c r="M69" s="1" t="s">
        <v>245</v>
      </c>
      <c r="O69" s="1" t="s">
        <v>338</v>
      </c>
    </row>
    <row r="70" spans="1:15" ht="145.19999999999999">
      <c r="A70" s="1">
        <v>37644</v>
      </c>
      <c r="B70" s="1" t="s">
        <v>382</v>
      </c>
      <c r="D70" s="1" t="s">
        <v>387</v>
      </c>
      <c r="E70" s="1" t="s">
        <v>99</v>
      </c>
      <c r="F70" s="1" t="s">
        <v>101</v>
      </c>
      <c r="I70" s="111" t="s">
        <v>388</v>
      </c>
      <c r="J70" s="1" t="s">
        <v>297</v>
      </c>
      <c r="K70" s="1" t="s">
        <v>385</v>
      </c>
      <c r="L70" s="1" t="s">
        <v>386</v>
      </c>
      <c r="M70" s="1" t="s">
        <v>245</v>
      </c>
      <c r="O70" s="1" t="s">
        <v>338</v>
      </c>
    </row>
    <row r="71" spans="1:15" ht="145.19999999999999">
      <c r="A71" s="1">
        <v>37643</v>
      </c>
      <c r="B71" s="1" t="s">
        <v>382</v>
      </c>
      <c r="D71" s="1" t="s">
        <v>389</v>
      </c>
      <c r="E71" s="1" t="s">
        <v>99</v>
      </c>
      <c r="F71" s="1" t="s">
        <v>77</v>
      </c>
      <c r="I71" s="111" t="s">
        <v>390</v>
      </c>
      <c r="J71" s="1" t="s">
        <v>297</v>
      </c>
      <c r="K71" s="1" t="s">
        <v>385</v>
      </c>
      <c r="L71" s="1" t="s">
        <v>386</v>
      </c>
      <c r="M71" s="1" t="s">
        <v>245</v>
      </c>
      <c r="O71" s="1" t="s">
        <v>338</v>
      </c>
    </row>
    <row r="72" spans="1:15" ht="171.6">
      <c r="A72" s="1">
        <v>37639</v>
      </c>
      <c r="B72" s="1" t="s">
        <v>391</v>
      </c>
      <c r="D72" s="1" t="s">
        <v>392</v>
      </c>
      <c r="E72" s="1" t="s">
        <v>99</v>
      </c>
      <c r="F72" s="1" t="s">
        <v>101</v>
      </c>
      <c r="I72" s="111" t="s">
        <v>393</v>
      </c>
      <c r="J72" s="1" t="s">
        <v>297</v>
      </c>
      <c r="K72" s="1" t="s">
        <v>385</v>
      </c>
      <c r="L72" s="1" t="s">
        <v>386</v>
      </c>
      <c r="M72" s="1" t="s">
        <v>245</v>
      </c>
      <c r="O72" s="1" t="s">
        <v>338</v>
      </c>
    </row>
    <row r="73" spans="1:15" ht="171.6">
      <c r="A73" s="1">
        <v>37628</v>
      </c>
      <c r="B73" s="1" t="s">
        <v>394</v>
      </c>
      <c r="D73" s="1" t="s">
        <v>395</v>
      </c>
      <c r="E73" s="1" t="s">
        <v>99</v>
      </c>
      <c r="F73" s="1" t="s">
        <v>101</v>
      </c>
      <c r="I73" s="111" t="s">
        <v>396</v>
      </c>
      <c r="J73" s="1" t="s">
        <v>297</v>
      </c>
      <c r="K73" s="1" t="s">
        <v>385</v>
      </c>
      <c r="L73" s="1" t="s">
        <v>386</v>
      </c>
      <c r="M73" s="1" t="s">
        <v>245</v>
      </c>
      <c r="O73" s="1" t="s">
        <v>338</v>
      </c>
    </row>
    <row r="74" spans="1:15" ht="184.8">
      <c r="A74" s="1">
        <v>37627</v>
      </c>
      <c r="B74" s="1" t="s">
        <v>394</v>
      </c>
      <c r="D74" s="1" t="s">
        <v>397</v>
      </c>
      <c r="E74" s="1" t="s">
        <v>99</v>
      </c>
      <c r="F74" s="1" t="s">
        <v>101</v>
      </c>
      <c r="I74" s="111" t="s">
        <v>398</v>
      </c>
      <c r="J74" s="1" t="s">
        <v>297</v>
      </c>
      <c r="K74" s="1" t="s">
        <v>385</v>
      </c>
      <c r="L74" s="1" t="s">
        <v>386</v>
      </c>
      <c r="M74" s="1" t="s">
        <v>245</v>
      </c>
      <c r="O74" s="1" t="s">
        <v>338</v>
      </c>
    </row>
    <row r="75" spans="1:15" ht="171.6">
      <c r="A75" s="1">
        <v>37626</v>
      </c>
      <c r="B75" s="1" t="s">
        <v>394</v>
      </c>
      <c r="D75" s="1" t="s">
        <v>399</v>
      </c>
      <c r="E75" s="1" t="s">
        <v>99</v>
      </c>
      <c r="F75" s="1" t="s">
        <v>101</v>
      </c>
      <c r="I75" s="111" t="s">
        <v>400</v>
      </c>
      <c r="J75" s="1" t="s">
        <v>297</v>
      </c>
      <c r="K75" s="1" t="s">
        <v>385</v>
      </c>
      <c r="L75" s="1" t="s">
        <v>386</v>
      </c>
      <c r="M75" s="1" t="s">
        <v>245</v>
      </c>
      <c r="O75" s="1" t="s">
        <v>338</v>
      </c>
    </row>
    <row r="76" spans="1:15" ht="224.4">
      <c r="A76" s="1">
        <v>37625</v>
      </c>
      <c r="B76" s="1" t="s">
        <v>382</v>
      </c>
      <c r="D76" s="1" t="s">
        <v>401</v>
      </c>
      <c r="E76" s="1" t="s">
        <v>99</v>
      </c>
      <c r="F76" s="1" t="s">
        <v>101</v>
      </c>
      <c r="I76" s="111" t="s">
        <v>402</v>
      </c>
      <c r="J76" s="1" t="s">
        <v>297</v>
      </c>
      <c r="K76" s="1" t="s">
        <v>385</v>
      </c>
      <c r="L76" s="1" t="s">
        <v>386</v>
      </c>
      <c r="M76" s="1" t="s">
        <v>245</v>
      </c>
      <c r="O76" s="1" t="s">
        <v>317</v>
      </c>
    </row>
    <row r="77" spans="1:15" ht="250.8">
      <c r="A77" s="1">
        <v>37624</v>
      </c>
      <c r="B77" s="1" t="s">
        <v>391</v>
      </c>
      <c r="D77" s="1" t="s">
        <v>403</v>
      </c>
      <c r="E77" s="1" t="s">
        <v>99</v>
      </c>
      <c r="F77" s="1" t="s">
        <v>101</v>
      </c>
      <c r="I77" s="111" t="s">
        <v>404</v>
      </c>
      <c r="J77" s="1" t="s">
        <v>297</v>
      </c>
      <c r="K77" s="1" t="s">
        <v>385</v>
      </c>
      <c r="L77" s="1" t="s">
        <v>386</v>
      </c>
      <c r="M77" s="1" t="s">
        <v>245</v>
      </c>
      <c r="O77" s="1" t="s">
        <v>338</v>
      </c>
    </row>
    <row r="78" spans="1:15" ht="224.4">
      <c r="A78" s="1">
        <v>37601</v>
      </c>
      <c r="B78" s="1" t="s">
        <v>394</v>
      </c>
      <c r="D78" s="1" t="s">
        <v>405</v>
      </c>
      <c r="E78" s="1" t="s">
        <v>99</v>
      </c>
      <c r="F78" s="1" t="s">
        <v>101</v>
      </c>
      <c r="I78" s="111" t="s">
        <v>406</v>
      </c>
      <c r="J78" s="1" t="s">
        <v>297</v>
      </c>
      <c r="K78" s="1" t="s">
        <v>385</v>
      </c>
      <c r="L78" s="1" t="s">
        <v>386</v>
      </c>
      <c r="M78" s="1" t="s">
        <v>245</v>
      </c>
      <c r="O78" s="1" t="s">
        <v>338</v>
      </c>
    </row>
    <row r="79" spans="1:15" ht="198">
      <c r="A79" s="1">
        <v>37566</v>
      </c>
      <c r="B79" s="1" t="s">
        <v>382</v>
      </c>
      <c r="D79" s="1" t="s">
        <v>407</v>
      </c>
      <c r="E79" s="1" t="s">
        <v>95</v>
      </c>
      <c r="F79" s="1" t="s">
        <v>101</v>
      </c>
      <c r="I79" s="111" t="s">
        <v>408</v>
      </c>
      <c r="J79" s="1" t="s">
        <v>297</v>
      </c>
      <c r="K79" s="1" t="s">
        <v>385</v>
      </c>
      <c r="L79" s="1" t="s">
        <v>386</v>
      </c>
      <c r="M79" s="1" t="s">
        <v>245</v>
      </c>
      <c r="O79" s="1" t="s">
        <v>338</v>
      </c>
    </row>
    <row r="80" spans="1:15" ht="224.4">
      <c r="A80" s="1">
        <v>37562</v>
      </c>
      <c r="B80" s="1" t="s">
        <v>382</v>
      </c>
      <c r="D80" s="1" t="s">
        <v>409</v>
      </c>
      <c r="E80" s="1" t="s">
        <v>99</v>
      </c>
      <c r="F80" s="1" t="s">
        <v>101</v>
      </c>
      <c r="I80" s="111" t="s">
        <v>410</v>
      </c>
      <c r="J80" s="1" t="s">
        <v>297</v>
      </c>
      <c r="K80" s="1" t="s">
        <v>385</v>
      </c>
      <c r="L80" s="1" t="s">
        <v>386</v>
      </c>
      <c r="M80" s="1" t="s">
        <v>245</v>
      </c>
      <c r="O80" s="1" t="s">
        <v>297</v>
      </c>
    </row>
    <row r="81" spans="1:15" ht="132">
      <c r="A81" s="1">
        <v>37555</v>
      </c>
      <c r="B81" s="1" t="s">
        <v>411</v>
      </c>
      <c r="D81" s="1" t="s">
        <v>412</v>
      </c>
      <c r="E81" s="1" t="s">
        <v>99</v>
      </c>
      <c r="F81" s="1" t="s">
        <v>100</v>
      </c>
      <c r="I81" s="111" t="s">
        <v>413</v>
      </c>
      <c r="J81" s="1" t="s">
        <v>297</v>
      </c>
      <c r="K81" s="1" t="s">
        <v>269</v>
      </c>
      <c r="L81" s="1" t="s">
        <v>378</v>
      </c>
      <c r="M81" s="1" t="s">
        <v>269</v>
      </c>
      <c r="O81" s="1" t="s">
        <v>338</v>
      </c>
    </row>
    <row r="82" spans="1:15" ht="184.8">
      <c r="A82" s="1">
        <v>37553</v>
      </c>
      <c r="B82" s="1" t="s">
        <v>382</v>
      </c>
      <c r="D82" s="1" t="s">
        <v>414</v>
      </c>
      <c r="E82" s="1" t="s">
        <v>99</v>
      </c>
      <c r="F82" s="1" t="s">
        <v>101</v>
      </c>
      <c r="I82" s="111" t="s">
        <v>415</v>
      </c>
      <c r="J82" s="1" t="s">
        <v>297</v>
      </c>
      <c r="K82" s="1" t="s">
        <v>385</v>
      </c>
      <c r="L82" s="1" t="s">
        <v>386</v>
      </c>
      <c r="M82" s="1" t="s">
        <v>245</v>
      </c>
      <c r="O82" s="1" t="s">
        <v>338</v>
      </c>
    </row>
    <row r="83" spans="1:15" ht="224.4">
      <c r="A83" s="1">
        <v>37552</v>
      </c>
      <c r="B83" s="1" t="s">
        <v>382</v>
      </c>
      <c r="D83" s="1" t="s">
        <v>416</v>
      </c>
      <c r="E83" s="1" t="s">
        <v>95</v>
      </c>
      <c r="F83" s="1" t="s">
        <v>77</v>
      </c>
      <c r="I83" s="111" t="s">
        <v>417</v>
      </c>
      <c r="J83" s="1" t="s">
        <v>297</v>
      </c>
      <c r="K83" s="1" t="s">
        <v>385</v>
      </c>
      <c r="L83" s="1" t="s">
        <v>386</v>
      </c>
      <c r="M83" s="1" t="s">
        <v>245</v>
      </c>
      <c r="O83" s="1" t="s">
        <v>298</v>
      </c>
    </row>
    <row r="84" spans="1:15" ht="184.8">
      <c r="A84" s="1">
        <v>37550</v>
      </c>
      <c r="B84" s="1" t="s">
        <v>382</v>
      </c>
      <c r="D84" s="1" t="s">
        <v>418</v>
      </c>
      <c r="E84" s="1" t="s">
        <v>99</v>
      </c>
      <c r="F84" s="1" t="s">
        <v>101</v>
      </c>
      <c r="I84" s="111" t="s">
        <v>419</v>
      </c>
      <c r="J84" s="1" t="s">
        <v>297</v>
      </c>
      <c r="K84" s="1" t="s">
        <v>385</v>
      </c>
      <c r="L84" s="1" t="s">
        <v>386</v>
      </c>
      <c r="M84" s="1" t="s">
        <v>245</v>
      </c>
      <c r="O84" s="1" t="s">
        <v>297</v>
      </c>
    </row>
    <row r="85" spans="1:15" ht="184.8">
      <c r="A85" s="1">
        <v>37549</v>
      </c>
      <c r="B85" s="1" t="s">
        <v>382</v>
      </c>
      <c r="D85" s="1" t="s">
        <v>420</v>
      </c>
      <c r="E85" s="1" t="s">
        <v>99</v>
      </c>
      <c r="F85" s="1" t="s">
        <v>101</v>
      </c>
      <c r="I85" s="111" t="s">
        <v>421</v>
      </c>
      <c r="J85" s="1" t="s">
        <v>297</v>
      </c>
      <c r="K85" s="1" t="s">
        <v>385</v>
      </c>
      <c r="L85" s="1" t="s">
        <v>386</v>
      </c>
      <c r="M85" s="1" t="s">
        <v>245</v>
      </c>
      <c r="O85" s="1" t="s">
        <v>297</v>
      </c>
    </row>
    <row r="86" spans="1:15" ht="184.8">
      <c r="A86" s="1">
        <v>37548</v>
      </c>
      <c r="B86" s="1" t="s">
        <v>382</v>
      </c>
      <c r="D86" s="1" t="s">
        <v>422</v>
      </c>
      <c r="E86" s="1" t="s">
        <v>99</v>
      </c>
      <c r="F86" s="1" t="s">
        <v>101</v>
      </c>
      <c r="I86" s="111" t="s">
        <v>423</v>
      </c>
      <c r="J86" s="1" t="s">
        <v>297</v>
      </c>
      <c r="K86" s="1" t="s">
        <v>385</v>
      </c>
      <c r="L86" s="1" t="s">
        <v>386</v>
      </c>
      <c r="M86" s="1" t="s">
        <v>245</v>
      </c>
      <c r="O86" s="1" t="s">
        <v>297</v>
      </c>
    </row>
    <row r="87" spans="1:15" ht="184.8">
      <c r="A87" s="1">
        <v>37547</v>
      </c>
      <c r="B87" s="1" t="s">
        <v>391</v>
      </c>
      <c r="D87" s="1" t="s">
        <v>424</v>
      </c>
      <c r="E87" s="1" t="s">
        <v>95</v>
      </c>
      <c r="F87" s="1" t="s">
        <v>77</v>
      </c>
      <c r="I87" s="111" t="s">
        <v>425</v>
      </c>
      <c r="J87" s="1" t="s">
        <v>297</v>
      </c>
      <c r="K87" s="1" t="s">
        <v>385</v>
      </c>
      <c r="L87" s="1" t="s">
        <v>386</v>
      </c>
      <c r="M87" s="1" t="s">
        <v>245</v>
      </c>
      <c r="O87" s="1" t="s">
        <v>338</v>
      </c>
    </row>
    <row r="88" spans="1:15" ht="224.4">
      <c r="A88" s="1">
        <v>37546</v>
      </c>
      <c r="B88" s="1" t="s">
        <v>391</v>
      </c>
      <c r="D88" s="1" t="s">
        <v>426</v>
      </c>
      <c r="E88" s="1" t="s">
        <v>99</v>
      </c>
      <c r="F88" s="1" t="s">
        <v>101</v>
      </c>
      <c r="I88" s="111" t="s">
        <v>427</v>
      </c>
      <c r="J88" s="1" t="s">
        <v>297</v>
      </c>
      <c r="K88" s="1" t="s">
        <v>385</v>
      </c>
      <c r="L88" s="1" t="s">
        <v>386</v>
      </c>
      <c r="M88" s="1" t="s">
        <v>245</v>
      </c>
      <c r="O88" s="1" t="s">
        <v>338</v>
      </c>
    </row>
    <row r="89" spans="1:15" ht="132">
      <c r="A89" s="1">
        <v>37528</v>
      </c>
      <c r="B89" s="1" t="s">
        <v>428</v>
      </c>
      <c r="D89" s="1" t="s">
        <v>429</v>
      </c>
      <c r="E89" s="1" t="s">
        <v>99</v>
      </c>
      <c r="F89" s="1" t="s">
        <v>77</v>
      </c>
      <c r="I89" s="111" t="s">
        <v>430</v>
      </c>
      <c r="J89" s="1" t="s">
        <v>297</v>
      </c>
      <c r="K89" s="1" t="s">
        <v>385</v>
      </c>
      <c r="L89" s="1" t="s">
        <v>386</v>
      </c>
      <c r="M89" s="1" t="s">
        <v>245</v>
      </c>
      <c r="O89" s="1" t="s">
        <v>338</v>
      </c>
    </row>
    <row r="90" spans="1:15" ht="184.8">
      <c r="A90" s="1">
        <v>37527</v>
      </c>
      <c r="B90" s="1" t="s">
        <v>394</v>
      </c>
      <c r="D90" s="1" t="s">
        <v>431</v>
      </c>
      <c r="E90" s="1" t="s">
        <v>99</v>
      </c>
      <c r="F90" s="1" t="s">
        <v>101</v>
      </c>
      <c r="I90" s="111" t="s">
        <v>432</v>
      </c>
      <c r="J90" s="1" t="s">
        <v>297</v>
      </c>
      <c r="K90" s="1" t="s">
        <v>385</v>
      </c>
      <c r="L90" s="1" t="s">
        <v>386</v>
      </c>
      <c r="M90" s="1" t="s">
        <v>245</v>
      </c>
      <c r="N90" s="1" t="s">
        <v>433</v>
      </c>
      <c r="O90" s="1" t="s">
        <v>338</v>
      </c>
    </row>
    <row r="91" spans="1:15" ht="198">
      <c r="A91" s="1">
        <v>37526</v>
      </c>
      <c r="B91" s="1" t="s">
        <v>394</v>
      </c>
      <c r="D91" s="1" t="s">
        <v>434</v>
      </c>
      <c r="E91" s="1" t="s">
        <v>99</v>
      </c>
      <c r="F91" s="1" t="s">
        <v>101</v>
      </c>
      <c r="I91" s="111" t="s">
        <v>435</v>
      </c>
      <c r="J91" s="1" t="s">
        <v>297</v>
      </c>
      <c r="K91" s="1" t="s">
        <v>385</v>
      </c>
      <c r="L91" s="1" t="s">
        <v>386</v>
      </c>
      <c r="M91" s="1" t="s">
        <v>245</v>
      </c>
      <c r="N91" s="1" t="s">
        <v>436</v>
      </c>
      <c r="O91" s="1" t="s">
        <v>338</v>
      </c>
    </row>
    <row r="92" spans="1:15" ht="211.2">
      <c r="A92" s="1">
        <v>37525</v>
      </c>
      <c r="B92" s="1" t="s">
        <v>394</v>
      </c>
      <c r="D92" s="1" t="s">
        <v>437</v>
      </c>
      <c r="E92" s="1" t="s">
        <v>99</v>
      </c>
      <c r="F92" s="1" t="s">
        <v>101</v>
      </c>
      <c r="I92" s="111" t="s">
        <v>438</v>
      </c>
      <c r="J92" s="1" t="s">
        <v>297</v>
      </c>
      <c r="K92" s="1" t="s">
        <v>385</v>
      </c>
      <c r="L92" s="1" t="s">
        <v>386</v>
      </c>
      <c r="M92" s="1" t="s">
        <v>245</v>
      </c>
      <c r="N92" s="1" t="s">
        <v>439</v>
      </c>
      <c r="O92" s="1" t="s">
        <v>338</v>
      </c>
    </row>
    <row r="93" spans="1:15" ht="184.8">
      <c r="A93" s="1">
        <v>37524</v>
      </c>
      <c r="B93" s="1" t="s">
        <v>394</v>
      </c>
      <c r="D93" s="1" t="s">
        <v>440</v>
      </c>
      <c r="E93" s="1" t="s">
        <v>99</v>
      </c>
      <c r="F93" s="1" t="s">
        <v>101</v>
      </c>
      <c r="I93" s="111" t="s">
        <v>441</v>
      </c>
      <c r="J93" s="1" t="s">
        <v>297</v>
      </c>
      <c r="K93" s="1" t="s">
        <v>385</v>
      </c>
      <c r="L93" s="1" t="s">
        <v>386</v>
      </c>
      <c r="M93" s="1" t="s">
        <v>245</v>
      </c>
      <c r="N93" s="1" t="s">
        <v>439</v>
      </c>
      <c r="O93" s="1" t="s">
        <v>338</v>
      </c>
    </row>
    <row r="94" spans="1:15" ht="158.4">
      <c r="A94" s="1">
        <v>37523</v>
      </c>
      <c r="B94" s="1" t="s">
        <v>394</v>
      </c>
      <c r="D94" s="1" t="s">
        <v>442</v>
      </c>
      <c r="E94" s="1" t="s">
        <v>99</v>
      </c>
      <c r="F94" s="1" t="s">
        <v>101</v>
      </c>
      <c r="I94" s="111" t="s">
        <v>443</v>
      </c>
      <c r="J94" s="1" t="s">
        <v>297</v>
      </c>
      <c r="K94" s="1" t="s">
        <v>385</v>
      </c>
      <c r="L94" s="1" t="s">
        <v>386</v>
      </c>
      <c r="M94" s="1" t="s">
        <v>245</v>
      </c>
      <c r="O94" s="1" t="s">
        <v>338</v>
      </c>
    </row>
    <row r="95" spans="1:15" ht="198">
      <c r="A95" s="1">
        <v>37522</v>
      </c>
      <c r="B95" s="1" t="s">
        <v>394</v>
      </c>
      <c r="D95" s="1" t="s">
        <v>444</v>
      </c>
      <c r="E95" s="1" t="s">
        <v>99</v>
      </c>
      <c r="F95" s="1" t="s">
        <v>445</v>
      </c>
      <c r="I95" s="111" t="s">
        <v>446</v>
      </c>
      <c r="J95" s="1" t="s">
        <v>297</v>
      </c>
      <c r="K95" s="1" t="s">
        <v>385</v>
      </c>
      <c r="L95" s="1" t="s">
        <v>386</v>
      </c>
      <c r="M95" s="1" t="s">
        <v>245</v>
      </c>
      <c r="O95" s="1" t="s">
        <v>338</v>
      </c>
    </row>
    <row r="96" spans="1:15" ht="343.2">
      <c r="A96" s="1">
        <v>37521</v>
      </c>
      <c r="B96" s="1" t="s">
        <v>394</v>
      </c>
      <c r="D96" s="1" t="s">
        <v>447</v>
      </c>
      <c r="E96" s="1" t="s">
        <v>99</v>
      </c>
      <c r="F96" s="1" t="s">
        <v>445</v>
      </c>
      <c r="I96" s="111" t="s">
        <v>448</v>
      </c>
      <c r="J96" s="1" t="s">
        <v>297</v>
      </c>
      <c r="K96" s="1" t="s">
        <v>385</v>
      </c>
      <c r="L96" s="1" t="s">
        <v>386</v>
      </c>
      <c r="M96" s="1" t="s">
        <v>245</v>
      </c>
      <c r="O96" s="1" t="s">
        <v>338</v>
      </c>
    </row>
    <row r="97" spans="1:15" ht="277.2">
      <c r="A97" s="1">
        <v>37520</v>
      </c>
      <c r="B97" s="1" t="s">
        <v>394</v>
      </c>
      <c r="D97" s="1" t="s">
        <v>449</v>
      </c>
      <c r="E97" s="1" t="s">
        <v>99</v>
      </c>
      <c r="F97" s="1" t="s">
        <v>101</v>
      </c>
      <c r="I97" s="111" t="s">
        <v>450</v>
      </c>
      <c r="J97" s="1" t="s">
        <v>297</v>
      </c>
      <c r="K97" s="1" t="s">
        <v>385</v>
      </c>
      <c r="L97" s="1" t="s">
        <v>386</v>
      </c>
      <c r="M97" s="1" t="s">
        <v>245</v>
      </c>
      <c r="N97" s="1" t="s">
        <v>451</v>
      </c>
      <c r="O97" s="1" t="s">
        <v>338</v>
      </c>
    </row>
    <row r="98" spans="1:15" ht="171.6">
      <c r="A98" s="1">
        <v>37516</v>
      </c>
      <c r="B98" s="1" t="s">
        <v>428</v>
      </c>
      <c r="D98" s="1" t="s">
        <v>452</v>
      </c>
      <c r="E98" s="1" t="s">
        <v>99</v>
      </c>
      <c r="F98" s="1" t="s">
        <v>445</v>
      </c>
      <c r="I98" s="111" t="s">
        <v>453</v>
      </c>
      <c r="J98" s="1" t="s">
        <v>297</v>
      </c>
      <c r="K98" s="1" t="s">
        <v>385</v>
      </c>
      <c r="L98" s="1" t="s">
        <v>386</v>
      </c>
      <c r="M98" s="1" t="s">
        <v>245</v>
      </c>
      <c r="N98" s="1" t="s">
        <v>451</v>
      </c>
      <c r="O98" s="1" t="s">
        <v>338</v>
      </c>
    </row>
    <row r="99" spans="1:15" ht="184.8">
      <c r="A99" s="1">
        <v>37515</v>
      </c>
      <c r="B99" s="1" t="s">
        <v>394</v>
      </c>
      <c r="D99" s="1" t="s">
        <v>454</v>
      </c>
      <c r="E99" s="1" t="s">
        <v>95</v>
      </c>
      <c r="F99" s="1" t="s">
        <v>101</v>
      </c>
      <c r="I99" s="111" t="s">
        <v>455</v>
      </c>
      <c r="J99" s="1" t="s">
        <v>297</v>
      </c>
      <c r="K99" s="1" t="s">
        <v>385</v>
      </c>
      <c r="L99" s="1" t="s">
        <v>386</v>
      </c>
      <c r="M99" s="1" t="s">
        <v>245</v>
      </c>
      <c r="N99" s="1" t="s">
        <v>456</v>
      </c>
      <c r="O99" s="1" t="s">
        <v>338</v>
      </c>
    </row>
    <row r="100" spans="1:15" ht="237.6">
      <c r="A100" s="1">
        <v>37514</v>
      </c>
      <c r="B100" s="1" t="s">
        <v>394</v>
      </c>
      <c r="D100" s="1" t="s">
        <v>457</v>
      </c>
      <c r="E100" s="1" t="s">
        <v>95</v>
      </c>
      <c r="F100" s="1" t="s">
        <v>101</v>
      </c>
      <c r="G100" s="1" t="s">
        <v>458</v>
      </c>
      <c r="H100" s="1" t="s">
        <v>459</v>
      </c>
      <c r="I100" s="111" t="s">
        <v>460</v>
      </c>
      <c r="J100" s="1" t="s">
        <v>297</v>
      </c>
      <c r="K100" s="1" t="s">
        <v>385</v>
      </c>
      <c r="L100" s="1" t="s">
        <v>386</v>
      </c>
      <c r="M100" s="1" t="s">
        <v>245</v>
      </c>
      <c r="N100" s="1" t="s">
        <v>461</v>
      </c>
      <c r="O100" s="1" t="s">
        <v>338</v>
      </c>
    </row>
    <row r="101" spans="1:15" ht="92.4">
      <c r="A101" s="1">
        <v>37224</v>
      </c>
      <c r="B101" s="1" t="s">
        <v>462</v>
      </c>
      <c r="D101" s="1" t="s">
        <v>463</v>
      </c>
      <c r="E101" s="1" t="s">
        <v>99</v>
      </c>
      <c r="F101" s="1" t="s">
        <v>100</v>
      </c>
      <c r="I101" s="111" t="s">
        <v>464</v>
      </c>
      <c r="J101" s="1" t="s">
        <v>297</v>
      </c>
      <c r="K101" s="1" t="s">
        <v>269</v>
      </c>
      <c r="L101" s="1" t="s">
        <v>287</v>
      </c>
      <c r="M101" s="1" t="s">
        <v>269</v>
      </c>
      <c r="N101" s="1" t="s">
        <v>465</v>
      </c>
      <c r="O101" s="1" t="s">
        <v>297</v>
      </c>
    </row>
    <row r="102" spans="1:15" ht="132">
      <c r="A102" s="1">
        <v>37105</v>
      </c>
      <c r="B102" s="1" t="s">
        <v>277</v>
      </c>
      <c r="D102" s="1" t="s">
        <v>466</v>
      </c>
      <c r="E102" s="1" t="s">
        <v>99</v>
      </c>
      <c r="F102" s="1" t="s">
        <v>100</v>
      </c>
      <c r="I102" s="111" t="s">
        <v>467</v>
      </c>
      <c r="J102" s="1" t="s">
        <v>297</v>
      </c>
      <c r="K102" s="1" t="s">
        <v>269</v>
      </c>
      <c r="L102" s="1" t="s">
        <v>287</v>
      </c>
      <c r="M102" s="1" t="s">
        <v>269</v>
      </c>
      <c r="N102" s="1" t="s">
        <v>468</v>
      </c>
      <c r="O102" s="1" t="s">
        <v>338</v>
      </c>
    </row>
    <row r="103" spans="1:15" ht="198">
      <c r="A103" s="1">
        <v>41235</v>
      </c>
      <c r="B103" s="1" t="s">
        <v>306</v>
      </c>
      <c r="D103" s="1" t="s">
        <v>469</v>
      </c>
      <c r="E103" s="1" t="s">
        <v>99</v>
      </c>
      <c r="F103" s="1" t="s">
        <v>101</v>
      </c>
      <c r="I103" s="111" t="s">
        <v>470</v>
      </c>
      <c r="J103" s="1" t="s">
        <v>471</v>
      </c>
      <c r="K103" s="1" t="s">
        <v>231</v>
      </c>
      <c r="L103" s="1" t="s">
        <v>232</v>
      </c>
      <c r="M103" s="1" t="s">
        <v>472</v>
      </c>
      <c r="N103" s="1" t="s">
        <v>473</v>
      </c>
      <c r="O103" s="1" t="s">
        <v>297</v>
      </c>
    </row>
    <row r="104" spans="1:15" ht="184.8">
      <c r="A104" s="1">
        <v>41233</v>
      </c>
      <c r="B104" s="1" t="s">
        <v>294</v>
      </c>
      <c r="D104" s="1" t="s">
        <v>474</v>
      </c>
      <c r="E104" s="1" t="s">
        <v>99</v>
      </c>
      <c r="F104" s="1" t="s">
        <v>101</v>
      </c>
      <c r="I104" s="111" t="s">
        <v>475</v>
      </c>
      <c r="J104" s="1" t="s">
        <v>471</v>
      </c>
      <c r="K104" s="1" t="s">
        <v>231</v>
      </c>
      <c r="L104" s="1" t="s">
        <v>232</v>
      </c>
      <c r="M104" s="1" t="s">
        <v>472</v>
      </c>
      <c r="N104" s="1" t="s">
        <v>476</v>
      </c>
      <c r="O104" s="1" t="s">
        <v>297</v>
      </c>
    </row>
    <row r="105" spans="1:15" ht="211.2">
      <c r="A105" s="1">
        <v>41232</v>
      </c>
      <c r="B105" s="1" t="s">
        <v>228</v>
      </c>
      <c r="D105" s="1" t="s">
        <v>477</v>
      </c>
      <c r="E105" s="1" t="s">
        <v>99</v>
      </c>
      <c r="F105" s="1" t="s">
        <v>101</v>
      </c>
      <c r="I105" s="111" t="s">
        <v>478</v>
      </c>
      <c r="J105" s="1" t="s">
        <v>471</v>
      </c>
      <c r="K105" s="1" t="s">
        <v>231</v>
      </c>
      <c r="L105" s="1" t="s">
        <v>232</v>
      </c>
      <c r="M105" s="1" t="s">
        <v>472</v>
      </c>
      <c r="N105" s="1" t="s">
        <v>479</v>
      </c>
      <c r="O105" s="1" t="s">
        <v>297</v>
      </c>
    </row>
    <row r="106" spans="1:15" ht="211.2">
      <c r="A106" s="1">
        <v>41220</v>
      </c>
      <c r="B106" s="1" t="s">
        <v>382</v>
      </c>
      <c r="D106" s="1" t="s">
        <v>480</v>
      </c>
      <c r="E106" s="1" t="s">
        <v>99</v>
      </c>
      <c r="F106" s="1" t="s">
        <v>101</v>
      </c>
      <c r="I106" s="111" t="s">
        <v>481</v>
      </c>
      <c r="J106" s="1" t="s">
        <v>471</v>
      </c>
      <c r="K106" s="1" t="s">
        <v>231</v>
      </c>
      <c r="L106" s="1" t="s">
        <v>482</v>
      </c>
      <c r="M106" s="1" t="s">
        <v>472</v>
      </c>
      <c r="O106" s="1" t="s">
        <v>297</v>
      </c>
    </row>
    <row r="107" spans="1:15" ht="237.6">
      <c r="A107" s="1">
        <v>41202</v>
      </c>
      <c r="B107" s="1" t="s">
        <v>236</v>
      </c>
      <c r="D107" s="1" t="s">
        <v>483</v>
      </c>
      <c r="E107" s="1" t="s">
        <v>99</v>
      </c>
      <c r="F107" s="1" t="s">
        <v>101</v>
      </c>
      <c r="I107" s="111" t="s">
        <v>484</v>
      </c>
      <c r="J107" s="1" t="s">
        <v>471</v>
      </c>
      <c r="K107" s="1" t="s">
        <v>231</v>
      </c>
      <c r="L107" s="1" t="s">
        <v>232</v>
      </c>
      <c r="M107" s="1" t="s">
        <v>472</v>
      </c>
      <c r="N107" s="1" t="s">
        <v>485</v>
      </c>
      <c r="O107" s="1" t="s">
        <v>317</v>
      </c>
    </row>
    <row r="108" spans="1:15" ht="250.8">
      <c r="A108" s="1">
        <v>41183</v>
      </c>
      <c r="B108" s="1" t="s">
        <v>333</v>
      </c>
      <c r="D108" s="1" t="s">
        <v>486</v>
      </c>
      <c r="E108" s="1" t="s">
        <v>95</v>
      </c>
      <c r="F108" s="1" t="s">
        <v>101</v>
      </c>
      <c r="I108" s="111" t="s">
        <v>487</v>
      </c>
      <c r="J108" s="1" t="s">
        <v>471</v>
      </c>
      <c r="K108" s="1" t="s">
        <v>231</v>
      </c>
      <c r="L108" s="1" t="s">
        <v>232</v>
      </c>
      <c r="M108" s="1" t="s">
        <v>472</v>
      </c>
      <c r="N108" s="1" t="s">
        <v>488</v>
      </c>
      <c r="O108" s="1" t="s">
        <v>317</v>
      </c>
    </row>
    <row r="109" spans="1:15" ht="264">
      <c r="A109" s="1">
        <v>41158</v>
      </c>
      <c r="B109" s="1" t="s">
        <v>246</v>
      </c>
      <c r="D109" s="1" t="s">
        <v>489</v>
      </c>
      <c r="E109" s="1" t="s">
        <v>99</v>
      </c>
      <c r="F109" s="1" t="s">
        <v>101</v>
      </c>
      <c r="I109" s="111" t="s">
        <v>490</v>
      </c>
      <c r="J109" s="1" t="s">
        <v>471</v>
      </c>
      <c r="K109" s="1" t="s">
        <v>231</v>
      </c>
      <c r="L109" s="1" t="s">
        <v>232</v>
      </c>
      <c r="M109" s="1" t="s">
        <v>472</v>
      </c>
      <c r="N109" s="1" t="s">
        <v>491</v>
      </c>
      <c r="O109" s="1" t="s">
        <v>329</v>
      </c>
    </row>
    <row r="110" spans="1:15" ht="158.4">
      <c r="A110" s="1">
        <v>41110</v>
      </c>
      <c r="B110" s="1" t="s">
        <v>294</v>
      </c>
      <c r="D110" s="1" t="s">
        <v>492</v>
      </c>
      <c r="E110" s="1" t="s">
        <v>99</v>
      </c>
      <c r="F110" s="1" t="s">
        <v>101</v>
      </c>
      <c r="I110" s="111" t="s">
        <v>493</v>
      </c>
      <c r="J110" s="1" t="s">
        <v>471</v>
      </c>
      <c r="K110" s="1" t="s">
        <v>231</v>
      </c>
      <c r="L110" s="1" t="s">
        <v>232</v>
      </c>
      <c r="M110" s="1" t="s">
        <v>472</v>
      </c>
      <c r="N110" s="1" t="s">
        <v>494</v>
      </c>
      <c r="O110" s="1" t="s">
        <v>297</v>
      </c>
    </row>
    <row r="111" spans="1:15" ht="198">
      <c r="A111" s="1">
        <v>41080</v>
      </c>
      <c r="B111" s="1" t="s">
        <v>495</v>
      </c>
      <c r="D111" s="1" t="s">
        <v>496</v>
      </c>
      <c r="E111" s="1" t="s">
        <v>99</v>
      </c>
      <c r="F111" s="1" t="s">
        <v>101</v>
      </c>
      <c r="I111" s="111" t="s">
        <v>497</v>
      </c>
      <c r="J111" s="1" t="s">
        <v>471</v>
      </c>
      <c r="K111" s="1" t="s">
        <v>231</v>
      </c>
      <c r="L111" s="1" t="s">
        <v>232</v>
      </c>
      <c r="M111" s="1" t="s">
        <v>472</v>
      </c>
      <c r="N111" s="1" t="s">
        <v>498</v>
      </c>
      <c r="O111" s="1" t="s">
        <v>329</v>
      </c>
    </row>
    <row r="112" spans="1:15" ht="316.8">
      <c r="A112" s="1">
        <v>41062</v>
      </c>
      <c r="B112" s="1" t="s">
        <v>342</v>
      </c>
      <c r="D112" s="1" t="s">
        <v>499</v>
      </c>
      <c r="E112" s="1" t="s">
        <v>99</v>
      </c>
      <c r="F112" s="1" t="s">
        <v>101</v>
      </c>
      <c r="I112" s="111" t="s">
        <v>500</v>
      </c>
      <c r="J112" s="1" t="s">
        <v>471</v>
      </c>
      <c r="K112" s="1" t="s">
        <v>231</v>
      </c>
      <c r="L112" s="1" t="s">
        <v>232</v>
      </c>
      <c r="M112" s="1" t="s">
        <v>472</v>
      </c>
      <c r="N112" s="1" t="s">
        <v>501</v>
      </c>
      <c r="O112" s="1" t="s">
        <v>329</v>
      </c>
    </row>
    <row r="113" spans="1:15" ht="171.6">
      <c r="A113" s="1">
        <v>40989</v>
      </c>
      <c r="B113" s="1" t="s">
        <v>294</v>
      </c>
      <c r="D113" s="1" t="s">
        <v>502</v>
      </c>
      <c r="E113" s="1" t="s">
        <v>99</v>
      </c>
      <c r="F113" s="1" t="s">
        <v>101</v>
      </c>
      <c r="I113" s="111" t="s">
        <v>503</v>
      </c>
      <c r="J113" s="1" t="s">
        <v>471</v>
      </c>
      <c r="K113" s="1" t="s">
        <v>231</v>
      </c>
      <c r="L113" s="1" t="s">
        <v>232</v>
      </c>
      <c r="M113" s="1" t="s">
        <v>472</v>
      </c>
      <c r="O113" s="1" t="s">
        <v>297</v>
      </c>
    </row>
    <row r="114" spans="1:15" ht="52.8">
      <c r="A114" s="1">
        <v>40394</v>
      </c>
      <c r="B114" s="1" t="s">
        <v>186</v>
      </c>
      <c r="D114" s="1" t="s">
        <v>504</v>
      </c>
      <c r="E114" s="1" t="s">
        <v>99</v>
      </c>
      <c r="F114" s="1" t="s">
        <v>77</v>
      </c>
      <c r="I114" s="111" t="s">
        <v>505</v>
      </c>
      <c r="J114" s="1" t="s">
        <v>471</v>
      </c>
      <c r="K114" s="1" t="s">
        <v>98</v>
      </c>
      <c r="L114" s="1" t="s">
        <v>190</v>
      </c>
      <c r="M114" s="1" t="s">
        <v>472</v>
      </c>
      <c r="O114" s="1" t="s">
        <v>297</v>
      </c>
    </row>
    <row r="115" spans="1:15" ht="39.6">
      <c r="A115" s="1">
        <v>40393</v>
      </c>
      <c r="B115" s="1" t="s">
        <v>186</v>
      </c>
      <c r="D115" s="1" t="s">
        <v>506</v>
      </c>
      <c r="E115" s="1" t="s">
        <v>99</v>
      </c>
      <c r="F115" s="1" t="s">
        <v>101</v>
      </c>
      <c r="I115" s="111" t="s">
        <v>365</v>
      </c>
      <c r="J115" s="1" t="s">
        <v>471</v>
      </c>
      <c r="K115" s="1" t="s">
        <v>98</v>
      </c>
      <c r="L115" s="1" t="s">
        <v>190</v>
      </c>
      <c r="M115" s="1" t="s">
        <v>472</v>
      </c>
      <c r="O115" s="1" t="s">
        <v>297</v>
      </c>
    </row>
    <row r="116" spans="1:15" ht="52.8">
      <c r="A116" s="1">
        <v>40392</v>
      </c>
      <c r="B116" s="1" t="s">
        <v>186</v>
      </c>
      <c r="D116" s="1" t="s">
        <v>507</v>
      </c>
      <c r="E116" s="1" t="s">
        <v>99</v>
      </c>
      <c r="F116" s="1" t="s">
        <v>101</v>
      </c>
      <c r="I116" s="111" t="s">
        <v>505</v>
      </c>
      <c r="J116" s="1" t="s">
        <v>471</v>
      </c>
      <c r="K116" s="1" t="s">
        <v>98</v>
      </c>
      <c r="L116" s="1" t="s">
        <v>190</v>
      </c>
      <c r="M116" s="1" t="s">
        <v>472</v>
      </c>
      <c r="O116" s="1" t="s">
        <v>297</v>
      </c>
    </row>
    <row r="117" spans="1:15" ht="39.6">
      <c r="A117" s="1">
        <v>40391</v>
      </c>
      <c r="B117" s="1" t="s">
        <v>186</v>
      </c>
      <c r="D117" s="1" t="s">
        <v>508</v>
      </c>
      <c r="E117" s="1" t="s">
        <v>99</v>
      </c>
      <c r="F117" s="1" t="s">
        <v>101</v>
      </c>
      <c r="I117" s="111" t="s">
        <v>365</v>
      </c>
      <c r="J117" s="1" t="s">
        <v>471</v>
      </c>
      <c r="K117" s="1" t="s">
        <v>98</v>
      </c>
      <c r="L117" s="1" t="s">
        <v>190</v>
      </c>
      <c r="M117" s="1" t="s">
        <v>472</v>
      </c>
      <c r="O117" s="1" t="s">
        <v>297</v>
      </c>
    </row>
    <row r="118" spans="1:15" ht="39.6">
      <c r="A118" s="1">
        <v>40390</v>
      </c>
      <c r="B118" s="1" t="s">
        <v>186</v>
      </c>
      <c r="D118" s="1" t="s">
        <v>509</v>
      </c>
      <c r="E118" s="1" t="s">
        <v>99</v>
      </c>
      <c r="F118" s="1" t="s">
        <v>101</v>
      </c>
      <c r="I118" s="111" t="s">
        <v>365</v>
      </c>
      <c r="J118" s="1" t="s">
        <v>471</v>
      </c>
      <c r="K118" s="1" t="s">
        <v>98</v>
      </c>
      <c r="L118" s="1" t="s">
        <v>190</v>
      </c>
      <c r="M118" s="1" t="s">
        <v>472</v>
      </c>
      <c r="O118" s="1" t="s">
        <v>297</v>
      </c>
    </row>
    <row r="119" spans="1:15" ht="39.6">
      <c r="A119" s="1">
        <v>40389</v>
      </c>
      <c r="B119" s="1" t="s">
        <v>186</v>
      </c>
      <c r="D119" s="1" t="s">
        <v>510</v>
      </c>
      <c r="E119" s="1" t="s">
        <v>99</v>
      </c>
      <c r="F119" s="1" t="s">
        <v>101</v>
      </c>
      <c r="I119" s="111" t="s">
        <v>365</v>
      </c>
      <c r="J119" s="1" t="s">
        <v>471</v>
      </c>
      <c r="K119" s="1" t="s">
        <v>98</v>
      </c>
      <c r="L119" s="1" t="s">
        <v>190</v>
      </c>
      <c r="M119" s="1" t="s">
        <v>472</v>
      </c>
      <c r="O119" s="1" t="s">
        <v>297</v>
      </c>
    </row>
    <row r="120" spans="1:15" ht="39.6">
      <c r="A120" s="1">
        <v>40388</v>
      </c>
      <c r="B120" s="1" t="s">
        <v>186</v>
      </c>
      <c r="D120" s="1" t="s">
        <v>511</v>
      </c>
      <c r="E120" s="1" t="s">
        <v>99</v>
      </c>
      <c r="F120" s="1" t="s">
        <v>101</v>
      </c>
      <c r="I120" s="111" t="s">
        <v>365</v>
      </c>
      <c r="J120" s="1" t="s">
        <v>471</v>
      </c>
      <c r="K120" s="1" t="s">
        <v>98</v>
      </c>
      <c r="L120" s="1" t="s">
        <v>190</v>
      </c>
      <c r="M120" s="1" t="s">
        <v>472</v>
      </c>
      <c r="O120" s="1" t="s">
        <v>317</v>
      </c>
    </row>
    <row r="121" spans="1:15" ht="52.8">
      <c r="A121" s="1">
        <v>40387</v>
      </c>
      <c r="B121" s="1" t="s">
        <v>186</v>
      </c>
      <c r="D121" s="1" t="s">
        <v>512</v>
      </c>
      <c r="E121" s="1" t="s">
        <v>99</v>
      </c>
      <c r="F121" s="1" t="s">
        <v>101</v>
      </c>
      <c r="I121" s="111" t="s">
        <v>505</v>
      </c>
      <c r="J121" s="1" t="s">
        <v>471</v>
      </c>
      <c r="K121" s="1" t="s">
        <v>98</v>
      </c>
      <c r="L121" s="1" t="s">
        <v>190</v>
      </c>
      <c r="M121" s="1" t="s">
        <v>472</v>
      </c>
      <c r="O121" s="1" t="s">
        <v>329</v>
      </c>
    </row>
    <row r="122" spans="1:15" ht="52.8">
      <c r="A122" s="1">
        <v>40386</v>
      </c>
      <c r="B122" s="1" t="s">
        <v>186</v>
      </c>
      <c r="D122" s="1" t="s">
        <v>513</v>
      </c>
      <c r="E122" s="1" t="s">
        <v>99</v>
      </c>
      <c r="F122" s="1" t="s">
        <v>101</v>
      </c>
      <c r="I122" s="111" t="s">
        <v>505</v>
      </c>
      <c r="J122" s="1" t="s">
        <v>471</v>
      </c>
      <c r="K122" s="1" t="s">
        <v>98</v>
      </c>
      <c r="L122" s="1" t="s">
        <v>190</v>
      </c>
      <c r="M122" s="1" t="s">
        <v>472</v>
      </c>
      <c r="O122" s="1" t="s">
        <v>297</v>
      </c>
    </row>
    <row r="123" spans="1:15" ht="52.8">
      <c r="A123" s="1">
        <v>40385</v>
      </c>
      <c r="B123" s="1" t="s">
        <v>186</v>
      </c>
      <c r="D123" s="1" t="s">
        <v>514</v>
      </c>
      <c r="E123" s="1" t="s">
        <v>99</v>
      </c>
      <c r="F123" s="1" t="s">
        <v>101</v>
      </c>
      <c r="I123" s="111" t="s">
        <v>505</v>
      </c>
      <c r="J123" s="1" t="s">
        <v>471</v>
      </c>
      <c r="K123" s="1" t="s">
        <v>98</v>
      </c>
      <c r="L123" s="1" t="s">
        <v>190</v>
      </c>
      <c r="M123" s="1" t="s">
        <v>472</v>
      </c>
      <c r="O123" s="1" t="s">
        <v>297</v>
      </c>
    </row>
    <row r="124" spans="1:15" ht="52.8">
      <c r="A124" s="1">
        <v>40384</v>
      </c>
      <c r="B124" s="1" t="s">
        <v>186</v>
      </c>
      <c r="D124" s="1" t="s">
        <v>515</v>
      </c>
      <c r="E124" s="1" t="s">
        <v>99</v>
      </c>
      <c r="F124" s="1" t="s">
        <v>101</v>
      </c>
      <c r="I124" s="111" t="s">
        <v>505</v>
      </c>
      <c r="J124" s="1" t="s">
        <v>471</v>
      </c>
      <c r="K124" s="1" t="s">
        <v>98</v>
      </c>
      <c r="L124" s="1" t="s">
        <v>190</v>
      </c>
      <c r="M124" s="1" t="s">
        <v>472</v>
      </c>
      <c r="O124" s="1" t="s">
        <v>297</v>
      </c>
    </row>
    <row r="125" spans="1:15" ht="39.6">
      <c r="A125" s="1">
        <v>40383</v>
      </c>
      <c r="B125" s="1" t="s">
        <v>186</v>
      </c>
      <c r="D125" s="1" t="s">
        <v>516</v>
      </c>
      <c r="E125" s="1" t="s">
        <v>99</v>
      </c>
      <c r="F125" s="1" t="s">
        <v>101</v>
      </c>
      <c r="I125" s="111" t="s">
        <v>365</v>
      </c>
      <c r="J125" s="1" t="s">
        <v>471</v>
      </c>
      <c r="K125" s="1" t="s">
        <v>98</v>
      </c>
      <c r="L125" s="1" t="s">
        <v>190</v>
      </c>
      <c r="M125" s="1" t="s">
        <v>472</v>
      </c>
      <c r="O125" s="1" t="s">
        <v>297</v>
      </c>
    </row>
    <row r="126" spans="1:15" ht="39.6">
      <c r="A126" s="1">
        <v>40382</v>
      </c>
      <c r="B126" s="1" t="s">
        <v>186</v>
      </c>
      <c r="D126" s="1" t="s">
        <v>517</v>
      </c>
      <c r="E126" s="1" t="s">
        <v>99</v>
      </c>
      <c r="F126" s="1" t="s">
        <v>101</v>
      </c>
      <c r="I126" s="111" t="s">
        <v>365</v>
      </c>
      <c r="J126" s="1" t="s">
        <v>471</v>
      </c>
      <c r="K126" s="1" t="s">
        <v>98</v>
      </c>
      <c r="L126" s="1" t="s">
        <v>190</v>
      </c>
      <c r="M126" s="1" t="s">
        <v>472</v>
      </c>
      <c r="O126" s="1" t="s">
        <v>297</v>
      </c>
    </row>
    <row r="127" spans="1:15" ht="39.6">
      <c r="A127" s="1">
        <v>40381</v>
      </c>
      <c r="B127" s="1" t="s">
        <v>186</v>
      </c>
      <c r="D127" s="1" t="s">
        <v>518</v>
      </c>
      <c r="E127" s="1" t="s">
        <v>99</v>
      </c>
      <c r="F127" s="1" t="s">
        <v>101</v>
      </c>
      <c r="I127" s="111" t="s">
        <v>365</v>
      </c>
      <c r="J127" s="1" t="s">
        <v>471</v>
      </c>
      <c r="K127" s="1" t="s">
        <v>98</v>
      </c>
      <c r="L127" s="1" t="s">
        <v>190</v>
      </c>
      <c r="M127" s="1" t="s">
        <v>472</v>
      </c>
      <c r="O127" s="1" t="s">
        <v>297</v>
      </c>
    </row>
    <row r="128" spans="1:15" ht="39.6">
      <c r="A128" s="1">
        <v>40380</v>
      </c>
      <c r="B128" s="1" t="s">
        <v>186</v>
      </c>
      <c r="D128" s="1" t="s">
        <v>519</v>
      </c>
      <c r="E128" s="1" t="s">
        <v>99</v>
      </c>
      <c r="F128" s="1" t="s">
        <v>101</v>
      </c>
      <c r="I128" s="111" t="s">
        <v>520</v>
      </c>
      <c r="J128" s="1" t="s">
        <v>471</v>
      </c>
      <c r="K128" s="1" t="s">
        <v>98</v>
      </c>
      <c r="L128" s="1" t="s">
        <v>190</v>
      </c>
      <c r="M128" s="1" t="s">
        <v>472</v>
      </c>
      <c r="O128" s="1" t="s">
        <v>297</v>
      </c>
    </row>
    <row r="129" spans="1:15" ht="52.8">
      <c r="A129" s="1">
        <v>40377</v>
      </c>
      <c r="B129" s="1" t="s">
        <v>186</v>
      </c>
      <c r="D129" s="1" t="s">
        <v>521</v>
      </c>
      <c r="E129" s="1" t="s">
        <v>99</v>
      </c>
      <c r="F129" s="1" t="s">
        <v>101</v>
      </c>
      <c r="I129" s="111" t="s">
        <v>522</v>
      </c>
      <c r="J129" s="1" t="s">
        <v>471</v>
      </c>
      <c r="K129" s="1" t="s">
        <v>98</v>
      </c>
      <c r="L129" s="1" t="s">
        <v>190</v>
      </c>
      <c r="M129" s="1" t="s">
        <v>472</v>
      </c>
      <c r="O129" s="1" t="s">
        <v>338</v>
      </c>
    </row>
    <row r="130" spans="1:15" ht="39.6">
      <c r="A130" s="1">
        <v>40376</v>
      </c>
      <c r="B130" s="1" t="s">
        <v>186</v>
      </c>
      <c r="D130" s="1" t="s">
        <v>523</v>
      </c>
      <c r="E130" s="1" t="s">
        <v>99</v>
      </c>
      <c r="F130" s="1" t="s">
        <v>101</v>
      </c>
      <c r="I130" s="111" t="s">
        <v>524</v>
      </c>
      <c r="J130" s="1" t="s">
        <v>471</v>
      </c>
      <c r="K130" s="1" t="s">
        <v>98</v>
      </c>
      <c r="L130" s="1" t="s">
        <v>190</v>
      </c>
      <c r="M130" s="1" t="s">
        <v>472</v>
      </c>
      <c r="O130" s="1" t="s">
        <v>297</v>
      </c>
    </row>
    <row r="131" spans="1:15" ht="39.6">
      <c r="A131" s="1">
        <v>40375</v>
      </c>
      <c r="B131" s="1" t="s">
        <v>186</v>
      </c>
      <c r="D131" s="1" t="s">
        <v>525</v>
      </c>
      <c r="E131" s="1" t="s">
        <v>99</v>
      </c>
      <c r="F131" s="1" t="s">
        <v>101</v>
      </c>
      <c r="I131" s="111" t="s">
        <v>365</v>
      </c>
      <c r="J131" s="1" t="s">
        <v>471</v>
      </c>
      <c r="K131" s="1" t="s">
        <v>98</v>
      </c>
      <c r="L131" s="1" t="s">
        <v>190</v>
      </c>
      <c r="M131" s="1" t="s">
        <v>472</v>
      </c>
      <c r="O131" s="1" t="s">
        <v>338</v>
      </c>
    </row>
    <row r="132" spans="1:15" ht="52.8">
      <c r="A132" s="1">
        <v>40374</v>
      </c>
      <c r="B132" s="1" t="s">
        <v>186</v>
      </c>
      <c r="D132" s="1" t="s">
        <v>526</v>
      </c>
      <c r="E132" s="1" t="s">
        <v>99</v>
      </c>
      <c r="F132" s="1" t="s">
        <v>101</v>
      </c>
      <c r="I132" s="111" t="s">
        <v>505</v>
      </c>
      <c r="J132" s="1" t="s">
        <v>471</v>
      </c>
      <c r="K132" s="1" t="s">
        <v>98</v>
      </c>
      <c r="L132" s="1" t="s">
        <v>190</v>
      </c>
      <c r="M132" s="1" t="s">
        <v>472</v>
      </c>
      <c r="O132" s="1" t="s">
        <v>338</v>
      </c>
    </row>
    <row r="133" spans="1:15" ht="52.8">
      <c r="A133" s="1">
        <v>40373</v>
      </c>
      <c r="B133" s="1" t="s">
        <v>186</v>
      </c>
      <c r="D133" s="1" t="s">
        <v>527</v>
      </c>
      <c r="E133" s="1" t="s">
        <v>99</v>
      </c>
      <c r="F133" s="1" t="s">
        <v>101</v>
      </c>
      <c r="I133" s="111" t="s">
        <v>505</v>
      </c>
      <c r="J133" s="1" t="s">
        <v>471</v>
      </c>
      <c r="K133" s="1" t="s">
        <v>98</v>
      </c>
      <c r="L133" s="1" t="s">
        <v>190</v>
      </c>
      <c r="M133" s="1" t="s">
        <v>472</v>
      </c>
      <c r="O133" s="1" t="s">
        <v>297</v>
      </c>
    </row>
    <row r="134" spans="1:15" ht="52.8">
      <c r="A134" s="1">
        <v>40372</v>
      </c>
      <c r="B134" s="1" t="s">
        <v>186</v>
      </c>
      <c r="D134" s="1" t="s">
        <v>528</v>
      </c>
      <c r="E134" s="1" t="s">
        <v>99</v>
      </c>
      <c r="F134" s="1" t="s">
        <v>101</v>
      </c>
      <c r="I134" s="111" t="s">
        <v>505</v>
      </c>
      <c r="J134" s="1" t="s">
        <v>471</v>
      </c>
      <c r="K134" s="1" t="s">
        <v>98</v>
      </c>
      <c r="L134" s="1" t="s">
        <v>190</v>
      </c>
      <c r="M134" s="1" t="s">
        <v>472</v>
      </c>
      <c r="O134" s="1" t="s">
        <v>297</v>
      </c>
    </row>
    <row r="135" spans="1:15" ht="39.6">
      <c r="A135" s="1">
        <v>40371</v>
      </c>
      <c r="B135" s="1" t="s">
        <v>186</v>
      </c>
      <c r="D135" s="1" t="s">
        <v>529</v>
      </c>
      <c r="E135" s="1" t="s">
        <v>99</v>
      </c>
      <c r="F135" s="1" t="s">
        <v>101</v>
      </c>
      <c r="I135" s="111" t="s">
        <v>365</v>
      </c>
      <c r="J135" s="1" t="s">
        <v>471</v>
      </c>
      <c r="K135" s="1" t="s">
        <v>98</v>
      </c>
      <c r="L135" s="1" t="s">
        <v>190</v>
      </c>
      <c r="M135" s="1" t="s">
        <v>472</v>
      </c>
      <c r="O135" s="1" t="s">
        <v>338</v>
      </c>
    </row>
    <row r="136" spans="1:15" ht="39.6">
      <c r="A136" s="1">
        <v>40370</v>
      </c>
      <c r="B136" s="1" t="s">
        <v>186</v>
      </c>
      <c r="D136" s="1" t="s">
        <v>530</v>
      </c>
      <c r="E136" s="1" t="s">
        <v>99</v>
      </c>
      <c r="F136" s="1" t="s">
        <v>101</v>
      </c>
      <c r="I136" s="111" t="s">
        <v>365</v>
      </c>
      <c r="J136" s="1" t="s">
        <v>471</v>
      </c>
      <c r="K136" s="1" t="s">
        <v>98</v>
      </c>
      <c r="L136" s="1" t="s">
        <v>190</v>
      </c>
      <c r="M136" s="1" t="s">
        <v>472</v>
      </c>
      <c r="O136" s="1" t="s">
        <v>329</v>
      </c>
    </row>
    <row r="137" spans="1:15" ht="39.6">
      <c r="A137" s="1">
        <v>40368</v>
      </c>
      <c r="B137" s="1" t="s">
        <v>186</v>
      </c>
      <c r="D137" s="1" t="s">
        <v>531</v>
      </c>
      <c r="E137" s="1" t="s">
        <v>99</v>
      </c>
      <c r="F137" s="1" t="s">
        <v>77</v>
      </c>
      <c r="I137" s="111" t="s">
        <v>365</v>
      </c>
      <c r="J137" s="1" t="s">
        <v>471</v>
      </c>
      <c r="K137" s="1" t="s">
        <v>98</v>
      </c>
      <c r="L137" s="1" t="s">
        <v>190</v>
      </c>
      <c r="M137" s="1" t="s">
        <v>472</v>
      </c>
      <c r="O137" s="1" t="s">
        <v>297</v>
      </c>
    </row>
    <row r="138" spans="1:15" ht="118.8">
      <c r="A138" s="1">
        <v>40300</v>
      </c>
      <c r="B138" s="1" t="s">
        <v>186</v>
      </c>
      <c r="D138" s="1" t="s">
        <v>532</v>
      </c>
      <c r="E138" s="1" t="s">
        <v>99</v>
      </c>
      <c r="F138" s="1" t="s">
        <v>101</v>
      </c>
      <c r="I138" s="111" t="s">
        <v>533</v>
      </c>
      <c r="J138" s="1" t="s">
        <v>471</v>
      </c>
      <c r="K138" s="1" t="s">
        <v>363</v>
      </c>
      <c r="L138" s="1" t="s">
        <v>190</v>
      </c>
      <c r="M138" s="1" t="s">
        <v>472</v>
      </c>
      <c r="O138" s="1" t="s">
        <v>301</v>
      </c>
    </row>
    <row r="139" spans="1:15" ht="132">
      <c r="A139" s="1">
        <v>40111</v>
      </c>
      <c r="B139" s="1" t="s">
        <v>186</v>
      </c>
      <c r="D139" s="1" t="s">
        <v>534</v>
      </c>
      <c r="E139" s="1" t="s">
        <v>99</v>
      </c>
      <c r="F139" s="1" t="s">
        <v>101</v>
      </c>
      <c r="I139" s="111" t="s">
        <v>535</v>
      </c>
      <c r="J139" s="1" t="s">
        <v>471</v>
      </c>
      <c r="K139" s="1" t="s">
        <v>363</v>
      </c>
      <c r="L139" s="1" t="s">
        <v>190</v>
      </c>
      <c r="M139" s="1" t="s">
        <v>472</v>
      </c>
      <c r="O139" s="1" t="s">
        <v>297</v>
      </c>
    </row>
    <row r="140" spans="1:15" ht="79.2">
      <c r="A140" s="1">
        <v>40097</v>
      </c>
      <c r="B140" s="1" t="s">
        <v>186</v>
      </c>
      <c r="D140" s="1" t="s">
        <v>536</v>
      </c>
      <c r="E140" s="1" t="s">
        <v>99</v>
      </c>
      <c r="F140" s="1" t="s">
        <v>101</v>
      </c>
      <c r="I140" s="111" t="s">
        <v>537</v>
      </c>
      <c r="J140" s="1" t="s">
        <v>471</v>
      </c>
      <c r="K140" s="1" t="s">
        <v>363</v>
      </c>
      <c r="L140" s="1" t="s">
        <v>190</v>
      </c>
      <c r="M140" s="1" t="s">
        <v>472</v>
      </c>
      <c r="O140" s="1" t="s">
        <v>297</v>
      </c>
    </row>
    <row r="141" spans="1:15" ht="92.4">
      <c r="A141" s="1">
        <v>40096</v>
      </c>
      <c r="B141" s="1" t="s">
        <v>186</v>
      </c>
      <c r="D141" s="1" t="s">
        <v>538</v>
      </c>
      <c r="E141" s="1" t="s">
        <v>99</v>
      </c>
      <c r="F141" s="1" t="s">
        <v>101</v>
      </c>
      <c r="I141" s="111" t="s">
        <v>539</v>
      </c>
      <c r="J141" s="1" t="s">
        <v>471</v>
      </c>
      <c r="K141" s="1" t="s">
        <v>363</v>
      </c>
      <c r="L141" s="1" t="s">
        <v>190</v>
      </c>
      <c r="M141" s="1" t="s">
        <v>472</v>
      </c>
      <c r="O141" s="1" t="s">
        <v>297</v>
      </c>
    </row>
    <row r="142" spans="1:15" ht="66">
      <c r="A142" s="1">
        <v>40095</v>
      </c>
      <c r="B142" s="1" t="s">
        <v>186</v>
      </c>
      <c r="D142" s="1" t="s">
        <v>540</v>
      </c>
      <c r="E142" s="1" t="s">
        <v>99</v>
      </c>
      <c r="F142" s="1" t="s">
        <v>101</v>
      </c>
      <c r="I142" s="111" t="s">
        <v>541</v>
      </c>
      <c r="J142" s="1" t="s">
        <v>471</v>
      </c>
      <c r="K142" s="1" t="s">
        <v>363</v>
      </c>
      <c r="L142" s="1" t="s">
        <v>190</v>
      </c>
      <c r="M142" s="1" t="s">
        <v>472</v>
      </c>
      <c r="O142" s="1" t="s">
        <v>297</v>
      </c>
    </row>
    <row r="143" spans="1:15" ht="105.6">
      <c r="A143" s="1">
        <v>40094</v>
      </c>
      <c r="B143" s="1" t="s">
        <v>186</v>
      </c>
      <c r="D143" s="1" t="s">
        <v>542</v>
      </c>
      <c r="E143" s="1" t="s">
        <v>99</v>
      </c>
      <c r="F143" s="1" t="s">
        <v>101</v>
      </c>
      <c r="I143" s="111" t="s">
        <v>543</v>
      </c>
      <c r="J143" s="1" t="s">
        <v>471</v>
      </c>
      <c r="K143" s="1" t="s">
        <v>363</v>
      </c>
      <c r="L143" s="1" t="s">
        <v>190</v>
      </c>
      <c r="M143" s="1" t="s">
        <v>472</v>
      </c>
      <c r="O143" s="1" t="s">
        <v>297</v>
      </c>
    </row>
    <row r="144" spans="1:15" ht="66">
      <c r="A144" s="1">
        <v>40093</v>
      </c>
      <c r="B144" s="1" t="s">
        <v>186</v>
      </c>
      <c r="D144" s="1" t="s">
        <v>544</v>
      </c>
      <c r="E144" s="1" t="s">
        <v>99</v>
      </c>
      <c r="F144" s="1" t="s">
        <v>101</v>
      </c>
      <c r="I144" s="111" t="s">
        <v>545</v>
      </c>
      <c r="J144" s="1" t="s">
        <v>471</v>
      </c>
      <c r="K144" s="1" t="s">
        <v>363</v>
      </c>
      <c r="L144" s="1" t="s">
        <v>190</v>
      </c>
      <c r="M144" s="1" t="s">
        <v>472</v>
      </c>
      <c r="O144" s="1" t="s">
        <v>297</v>
      </c>
    </row>
    <row r="145" spans="1:15" ht="79.2">
      <c r="A145" s="1">
        <v>40092</v>
      </c>
      <c r="B145" s="1" t="s">
        <v>186</v>
      </c>
      <c r="D145" s="1" t="s">
        <v>546</v>
      </c>
      <c r="E145" s="1" t="s">
        <v>99</v>
      </c>
      <c r="F145" s="1" t="s">
        <v>101</v>
      </c>
      <c r="I145" s="111" t="s">
        <v>547</v>
      </c>
      <c r="J145" s="1" t="s">
        <v>471</v>
      </c>
      <c r="K145" s="1" t="s">
        <v>363</v>
      </c>
      <c r="L145" s="1" t="s">
        <v>190</v>
      </c>
      <c r="M145" s="1" t="s">
        <v>472</v>
      </c>
      <c r="O145" s="1" t="s">
        <v>297</v>
      </c>
    </row>
    <row r="146" spans="1:15" ht="66">
      <c r="A146" s="1">
        <v>40091</v>
      </c>
      <c r="B146" s="1" t="s">
        <v>186</v>
      </c>
      <c r="D146" s="1" t="s">
        <v>548</v>
      </c>
      <c r="E146" s="1" t="s">
        <v>99</v>
      </c>
      <c r="F146" s="1" t="s">
        <v>101</v>
      </c>
      <c r="I146" s="111" t="s">
        <v>549</v>
      </c>
      <c r="J146" s="1" t="s">
        <v>471</v>
      </c>
      <c r="K146" s="1" t="s">
        <v>363</v>
      </c>
      <c r="L146" s="1" t="s">
        <v>190</v>
      </c>
      <c r="M146" s="1" t="s">
        <v>472</v>
      </c>
      <c r="O146" s="1" t="s">
        <v>297</v>
      </c>
    </row>
    <row r="147" spans="1:15" ht="52.8">
      <c r="A147" s="1">
        <v>40079</v>
      </c>
      <c r="B147" s="1" t="s">
        <v>186</v>
      </c>
      <c r="D147" s="1" t="s">
        <v>550</v>
      </c>
      <c r="E147" s="1" t="s">
        <v>99</v>
      </c>
      <c r="F147" s="1" t="s">
        <v>101</v>
      </c>
      <c r="I147" s="111" t="s">
        <v>551</v>
      </c>
      <c r="J147" s="1" t="s">
        <v>471</v>
      </c>
      <c r="K147" s="1" t="s">
        <v>363</v>
      </c>
      <c r="L147" s="1" t="s">
        <v>190</v>
      </c>
      <c r="M147" s="1" t="s">
        <v>472</v>
      </c>
      <c r="O147" s="1" t="s">
        <v>297</v>
      </c>
    </row>
    <row r="148" spans="1:15" ht="66">
      <c r="A148" s="1">
        <v>40078</v>
      </c>
      <c r="B148" s="1" t="s">
        <v>186</v>
      </c>
      <c r="D148" s="1" t="s">
        <v>552</v>
      </c>
      <c r="E148" s="1" t="s">
        <v>99</v>
      </c>
      <c r="F148" s="1" t="s">
        <v>101</v>
      </c>
      <c r="I148" s="111" t="s">
        <v>553</v>
      </c>
      <c r="J148" s="1" t="s">
        <v>471</v>
      </c>
      <c r="K148" s="1" t="s">
        <v>363</v>
      </c>
      <c r="L148" s="1" t="s">
        <v>190</v>
      </c>
      <c r="M148" s="1" t="s">
        <v>472</v>
      </c>
      <c r="O148" s="1" t="s">
        <v>297</v>
      </c>
    </row>
    <row r="149" spans="1:15" ht="66">
      <c r="A149" s="1">
        <v>40077</v>
      </c>
      <c r="B149" s="1" t="s">
        <v>186</v>
      </c>
      <c r="D149" s="1" t="s">
        <v>554</v>
      </c>
      <c r="E149" s="1" t="s">
        <v>99</v>
      </c>
      <c r="F149" s="1" t="s">
        <v>101</v>
      </c>
      <c r="I149" s="111" t="s">
        <v>555</v>
      </c>
      <c r="J149" s="1" t="s">
        <v>471</v>
      </c>
      <c r="K149" s="1" t="s">
        <v>363</v>
      </c>
      <c r="L149" s="1" t="s">
        <v>190</v>
      </c>
      <c r="M149" s="1" t="s">
        <v>472</v>
      </c>
      <c r="O149" s="1" t="s">
        <v>297</v>
      </c>
    </row>
    <row r="150" spans="1:15" ht="79.2">
      <c r="A150" s="1">
        <v>40076</v>
      </c>
      <c r="B150" s="1" t="s">
        <v>186</v>
      </c>
      <c r="D150" s="1" t="s">
        <v>556</v>
      </c>
      <c r="E150" s="1" t="s">
        <v>99</v>
      </c>
      <c r="F150" s="1" t="s">
        <v>77</v>
      </c>
      <c r="I150" s="111" t="s">
        <v>557</v>
      </c>
      <c r="J150" s="1" t="s">
        <v>471</v>
      </c>
      <c r="K150" s="1" t="s">
        <v>363</v>
      </c>
      <c r="L150" s="1" t="s">
        <v>190</v>
      </c>
      <c r="M150" s="1" t="s">
        <v>472</v>
      </c>
      <c r="O150" s="1" t="s">
        <v>297</v>
      </c>
    </row>
    <row r="151" spans="1:15" ht="92.4">
      <c r="A151" s="1">
        <v>40075</v>
      </c>
      <c r="B151" s="1" t="s">
        <v>186</v>
      </c>
      <c r="D151" s="1" t="s">
        <v>558</v>
      </c>
      <c r="E151" s="1" t="s">
        <v>99</v>
      </c>
      <c r="F151" s="1" t="s">
        <v>101</v>
      </c>
      <c r="I151" s="111" t="s">
        <v>559</v>
      </c>
      <c r="J151" s="1" t="s">
        <v>471</v>
      </c>
      <c r="K151" s="1" t="s">
        <v>363</v>
      </c>
      <c r="L151" s="1" t="s">
        <v>190</v>
      </c>
      <c r="M151" s="1" t="s">
        <v>472</v>
      </c>
      <c r="O151" s="1" t="s">
        <v>329</v>
      </c>
    </row>
    <row r="152" spans="1:15" ht="184.8">
      <c r="A152" s="1">
        <v>40074</v>
      </c>
      <c r="B152" s="1" t="s">
        <v>186</v>
      </c>
      <c r="D152" s="1" t="s">
        <v>560</v>
      </c>
      <c r="E152" s="1" t="s">
        <v>99</v>
      </c>
      <c r="F152" s="1" t="s">
        <v>101</v>
      </c>
      <c r="I152" s="111" t="s">
        <v>561</v>
      </c>
      <c r="J152" s="1" t="s">
        <v>471</v>
      </c>
      <c r="K152" s="1" t="s">
        <v>363</v>
      </c>
      <c r="L152" s="1" t="s">
        <v>190</v>
      </c>
      <c r="M152" s="1" t="s">
        <v>472</v>
      </c>
      <c r="O152" s="1" t="s">
        <v>297</v>
      </c>
    </row>
    <row r="153" spans="1:15" ht="92.4">
      <c r="A153" s="1">
        <v>40056</v>
      </c>
      <c r="B153" s="1" t="s">
        <v>186</v>
      </c>
      <c r="D153" s="1" t="s">
        <v>562</v>
      </c>
      <c r="E153" s="1" t="s">
        <v>99</v>
      </c>
      <c r="F153" s="1" t="s">
        <v>101</v>
      </c>
      <c r="I153" s="111" t="s">
        <v>563</v>
      </c>
      <c r="J153" s="1" t="s">
        <v>471</v>
      </c>
      <c r="K153" s="1" t="s">
        <v>363</v>
      </c>
      <c r="L153" s="1" t="s">
        <v>190</v>
      </c>
      <c r="M153" s="1" t="s">
        <v>472</v>
      </c>
      <c r="O153" s="1" t="s">
        <v>297</v>
      </c>
    </row>
    <row r="154" spans="1:15" ht="66">
      <c r="A154" s="1">
        <v>40055</v>
      </c>
      <c r="B154" s="1" t="s">
        <v>186</v>
      </c>
      <c r="D154" s="1" t="s">
        <v>564</v>
      </c>
      <c r="E154" s="1" t="s">
        <v>102</v>
      </c>
      <c r="F154" s="1" t="s">
        <v>101</v>
      </c>
      <c r="I154" s="111" t="s">
        <v>565</v>
      </c>
      <c r="J154" s="1" t="s">
        <v>471</v>
      </c>
      <c r="K154" s="1" t="s">
        <v>363</v>
      </c>
      <c r="L154" s="1" t="s">
        <v>190</v>
      </c>
      <c r="M154" s="1" t="s">
        <v>472</v>
      </c>
      <c r="O154" s="1" t="s">
        <v>297</v>
      </c>
    </row>
    <row r="155" spans="1:15" ht="66">
      <c r="A155" s="1">
        <v>40054</v>
      </c>
      <c r="B155" s="1" t="s">
        <v>186</v>
      </c>
      <c r="D155" s="1" t="s">
        <v>566</v>
      </c>
      <c r="E155" s="1" t="s">
        <v>95</v>
      </c>
      <c r="F155" s="1" t="s">
        <v>77</v>
      </c>
      <c r="I155" s="111" t="s">
        <v>567</v>
      </c>
      <c r="J155" s="1" t="s">
        <v>471</v>
      </c>
      <c r="K155" s="1" t="s">
        <v>363</v>
      </c>
      <c r="L155" s="1" t="s">
        <v>190</v>
      </c>
      <c r="M155" s="1" t="s">
        <v>472</v>
      </c>
      <c r="O155" s="1" t="s">
        <v>297</v>
      </c>
    </row>
    <row r="156" spans="1:15" ht="118.8">
      <c r="A156" s="1">
        <v>40052</v>
      </c>
      <c r="B156" s="1" t="s">
        <v>186</v>
      </c>
      <c r="D156" s="1" t="s">
        <v>568</v>
      </c>
      <c r="E156" s="1" t="s">
        <v>99</v>
      </c>
      <c r="F156" s="1" t="s">
        <v>77</v>
      </c>
      <c r="I156" s="111" t="s">
        <v>569</v>
      </c>
      <c r="J156" s="1" t="s">
        <v>471</v>
      </c>
      <c r="K156" s="1" t="s">
        <v>363</v>
      </c>
      <c r="L156" s="1" t="s">
        <v>190</v>
      </c>
      <c r="M156" s="1" t="s">
        <v>472</v>
      </c>
      <c r="O156" s="1" t="s">
        <v>317</v>
      </c>
    </row>
    <row r="157" spans="1:15" ht="79.2">
      <c r="A157" s="1">
        <v>40042</v>
      </c>
      <c r="B157" s="1" t="s">
        <v>186</v>
      </c>
      <c r="D157" s="1" t="s">
        <v>570</v>
      </c>
      <c r="E157" s="1" t="s">
        <v>102</v>
      </c>
      <c r="F157" s="1" t="s">
        <v>96</v>
      </c>
      <c r="I157" s="111" t="s">
        <v>571</v>
      </c>
      <c r="J157" s="1" t="s">
        <v>471</v>
      </c>
      <c r="K157" s="1" t="s">
        <v>363</v>
      </c>
      <c r="L157" s="1" t="s">
        <v>190</v>
      </c>
      <c r="M157" s="1" t="s">
        <v>472</v>
      </c>
      <c r="O157" s="1" t="s">
        <v>329</v>
      </c>
    </row>
    <row r="158" spans="1:15" ht="132">
      <c r="A158" s="1">
        <v>39319</v>
      </c>
      <c r="B158" s="1" t="s">
        <v>236</v>
      </c>
      <c r="D158" s="1" t="s">
        <v>572</v>
      </c>
      <c r="E158" s="1" t="s">
        <v>99</v>
      </c>
      <c r="F158" s="1" t="s">
        <v>101</v>
      </c>
      <c r="I158" s="111" t="s">
        <v>573</v>
      </c>
      <c r="J158" s="1" t="s">
        <v>471</v>
      </c>
      <c r="K158" s="1" t="s">
        <v>269</v>
      </c>
      <c r="L158" s="1" t="s">
        <v>371</v>
      </c>
      <c r="M158" s="1" t="s">
        <v>472</v>
      </c>
      <c r="O158" s="1" t="s">
        <v>329</v>
      </c>
    </row>
    <row r="159" spans="1:15" ht="132">
      <c r="A159" s="1">
        <v>39316</v>
      </c>
      <c r="B159" s="1" t="s">
        <v>259</v>
      </c>
      <c r="D159" s="1" t="s">
        <v>574</v>
      </c>
      <c r="E159" s="1" t="s">
        <v>99</v>
      </c>
      <c r="F159" s="1" t="s">
        <v>100</v>
      </c>
      <c r="I159" s="111" t="s">
        <v>575</v>
      </c>
      <c r="J159" s="1" t="s">
        <v>471</v>
      </c>
      <c r="K159" s="1" t="s">
        <v>269</v>
      </c>
      <c r="L159" s="1" t="s">
        <v>263</v>
      </c>
      <c r="M159" s="1" t="s">
        <v>472</v>
      </c>
      <c r="O159" s="1" t="s">
        <v>297</v>
      </c>
    </row>
    <row r="160" spans="1:15" ht="250.8">
      <c r="A160" s="1">
        <v>39313</v>
      </c>
      <c r="B160" s="1" t="s">
        <v>236</v>
      </c>
      <c r="D160" s="1" t="s">
        <v>576</v>
      </c>
      <c r="E160" s="1" t="s">
        <v>99</v>
      </c>
      <c r="F160" s="1" t="s">
        <v>100</v>
      </c>
      <c r="I160" s="111" t="s">
        <v>577</v>
      </c>
      <c r="J160" s="1" t="s">
        <v>471</v>
      </c>
      <c r="K160" s="1" t="s">
        <v>578</v>
      </c>
      <c r="L160" s="1" t="s">
        <v>371</v>
      </c>
      <c r="M160" s="1" t="s">
        <v>472</v>
      </c>
      <c r="N160" s="1" t="s">
        <v>579</v>
      </c>
      <c r="O160" s="1" t="s">
        <v>298</v>
      </c>
    </row>
    <row r="161" spans="1:15" ht="105.6">
      <c r="A161" s="1">
        <v>39312</v>
      </c>
      <c r="B161" s="1" t="s">
        <v>495</v>
      </c>
      <c r="D161" s="1" t="s">
        <v>580</v>
      </c>
      <c r="E161" s="1" t="s">
        <v>99</v>
      </c>
      <c r="F161" s="1" t="s">
        <v>100</v>
      </c>
      <c r="I161" s="111" t="s">
        <v>581</v>
      </c>
      <c r="J161" s="1" t="s">
        <v>471</v>
      </c>
      <c r="K161" s="1" t="s">
        <v>269</v>
      </c>
      <c r="L161" s="1" t="s">
        <v>371</v>
      </c>
      <c r="M161" s="1" t="s">
        <v>472</v>
      </c>
      <c r="O161" s="1" t="s">
        <v>317</v>
      </c>
    </row>
    <row r="162" spans="1:15" ht="132">
      <c r="A162" s="1">
        <v>39295</v>
      </c>
      <c r="B162" s="1" t="s">
        <v>236</v>
      </c>
      <c r="D162" s="1" t="s">
        <v>582</v>
      </c>
      <c r="E162" s="1" t="s">
        <v>95</v>
      </c>
      <c r="F162" s="1" t="s">
        <v>445</v>
      </c>
      <c r="I162" s="111" t="s">
        <v>583</v>
      </c>
      <c r="J162" s="1" t="s">
        <v>471</v>
      </c>
      <c r="K162" s="1" t="s">
        <v>578</v>
      </c>
      <c r="L162" s="1" t="s">
        <v>371</v>
      </c>
      <c r="M162" s="1" t="s">
        <v>472</v>
      </c>
      <c r="N162" s="1" t="s">
        <v>584</v>
      </c>
      <c r="O162" s="1" t="s">
        <v>338</v>
      </c>
    </row>
    <row r="163" spans="1:15" ht="171.6">
      <c r="A163" s="1">
        <v>39294</v>
      </c>
      <c r="B163" s="1" t="s">
        <v>236</v>
      </c>
      <c r="D163" s="1" t="s">
        <v>585</v>
      </c>
      <c r="E163" s="1" t="s">
        <v>99</v>
      </c>
      <c r="F163" s="1" t="s">
        <v>100</v>
      </c>
      <c r="I163" s="111" t="s">
        <v>586</v>
      </c>
      <c r="J163" s="1" t="s">
        <v>471</v>
      </c>
      <c r="K163" s="1" t="s">
        <v>578</v>
      </c>
      <c r="L163" s="1" t="s">
        <v>371</v>
      </c>
      <c r="M163" s="1" t="s">
        <v>472</v>
      </c>
      <c r="N163" s="1" t="s">
        <v>587</v>
      </c>
      <c r="O163" s="1" t="s">
        <v>297</v>
      </c>
    </row>
    <row r="164" spans="1:15" ht="250.8">
      <c r="A164" s="1">
        <v>39293</v>
      </c>
      <c r="B164" s="1" t="s">
        <v>236</v>
      </c>
      <c r="D164" s="1" t="s">
        <v>588</v>
      </c>
      <c r="E164" s="1" t="s">
        <v>99</v>
      </c>
      <c r="F164" s="1" t="s">
        <v>100</v>
      </c>
      <c r="I164" s="111" t="s">
        <v>589</v>
      </c>
      <c r="J164" s="1" t="s">
        <v>471</v>
      </c>
      <c r="K164" s="1" t="s">
        <v>578</v>
      </c>
      <c r="L164" s="1" t="s">
        <v>371</v>
      </c>
      <c r="M164" s="1" t="s">
        <v>472</v>
      </c>
      <c r="N164" s="1" t="s">
        <v>590</v>
      </c>
      <c r="O164" s="1" t="s">
        <v>338</v>
      </c>
    </row>
    <row r="165" spans="1:15" ht="184.8">
      <c r="A165" s="1">
        <v>39292</v>
      </c>
      <c r="B165" s="1" t="s">
        <v>236</v>
      </c>
      <c r="D165" s="1" t="s">
        <v>591</v>
      </c>
      <c r="E165" s="1" t="s">
        <v>99</v>
      </c>
      <c r="F165" s="1" t="s">
        <v>445</v>
      </c>
      <c r="I165" s="111" t="s">
        <v>592</v>
      </c>
      <c r="J165" s="1" t="s">
        <v>471</v>
      </c>
      <c r="K165" s="1" t="s">
        <v>578</v>
      </c>
      <c r="L165" s="1" t="s">
        <v>371</v>
      </c>
      <c r="M165" s="1" t="s">
        <v>472</v>
      </c>
      <c r="N165" s="1" t="s">
        <v>584</v>
      </c>
      <c r="O165" s="1" t="s">
        <v>297</v>
      </c>
    </row>
    <row r="166" spans="1:15" ht="145.19999999999999">
      <c r="A166" s="1">
        <v>39291</v>
      </c>
      <c r="B166" s="1" t="s">
        <v>236</v>
      </c>
      <c r="D166" s="1" t="s">
        <v>593</v>
      </c>
      <c r="E166" s="1" t="s">
        <v>99</v>
      </c>
      <c r="F166" s="1" t="s">
        <v>100</v>
      </c>
      <c r="I166" s="111" t="s">
        <v>594</v>
      </c>
      <c r="J166" s="1" t="s">
        <v>471</v>
      </c>
      <c r="K166" s="1" t="s">
        <v>578</v>
      </c>
      <c r="L166" s="1" t="s">
        <v>371</v>
      </c>
      <c r="M166" s="1" t="s">
        <v>472</v>
      </c>
      <c r="N166" s="1" t="s">
        <v>587</v>
      </c>
      <c r="O166" s="1" t="s">
        <v>297</v>
      </c>
    </row>
    <row r="167" spans="1:15" ht="52.8">
      <c r="A167" s="1">
        <v>39247</v>
      </c>
      <c r="B167" s="1" t="s">
        <v>205</v>
      </c>
      <c r="D167" s="1" t="s">
        <v>595</v>
      </c>
      <c r="E167" s="1" t="s">
        <v>99</v>
      </c>
      <c r="F167" s="1" t="s">
        <v>77</v>
      </c>
      <c r="I167" s="111" t="s">
        <v>596</v>
      </c>
      <c r="J167" s="1" t="s">
        <v>471</v>
      </c>
      <c r="K167" s="1" t="s">
        <v>363</v>
      </c>
      <c r="L167" s="1" t="s">
        <v>190</v>
      </c>
      <c r="M167" s="1" t="s">
        <v>472</v>
      </c>
      <c r="O167" s="1" t="s">
        <v>297</v>
      </c>
    </row>
    <row r="168" spans="1:15">
      <c r="A168" s="1">
        <v>39204</v>
      </c>
      <c r="B168" s="1" t="s">
        <v>236</v>
      </c>
      <c r="D168" s="1" t="s">
        <v>597</v>
      </c>
      <c r="E168" s="1" t="s">
        <v>102</v>
      </c>
      <c r="F168" s="1" t="s">
        <v>101</v>
      </c>
      <c r="I168" s="1" t="s">
        <v>597</v>
      </c>
      <c r="J168" s="1" t="s">
        <v>471</v>
      </c>
      <c r="K168" s="1" t="s">
        <v>262</v>
      </c>
      <c r="L168" s="1" t="s">
        <v>598</v>
      </c>
      <c r="M168" s="1" t="s">
        <v>472</v>
      </c>
      <c r="O168" s="1" t="s">
        <v>317</v>
      </c>
    </row>
    <row r="169" spans="1:15">
      <c r="A169" s="1">
        <v>39202</v>
      </c>
      <c r="B169" s="1" t="s">
        <v>259</v>
      </c>
      <c r="D169" s="1" t="s">
        <v>599</v>
      </c>
      <c r="E169" s="1" t="s">
        <v>102</v>
      </c>
      <c r="F169" s="1" t="s">
        <v>101</v>
      </c>
      <c r="I169" s="1" t="s">
        <v>599</v>
      </c>
      <c r="J169" s="1" t="s">
        <v>471</v>
      </c>
      <c r="K169" s="1" t="s">
        <v>262</v>
      </c>
      <c r="L169" s="1" t="s">
        <v>263</v>
      </c>
      <c r="M169" s="1" t="s">
        <v>472</v>
      </c>
      <c r="O169" s="1" t="s">
        <v>297</v>
      </c>
    </row>
    <row r="170" spans="1:15">
      <c r="A170" s="1">
        <v>39200</v>
      </c>
      <c r="B170" s="1" t="s">
        <v>236</v>
      </c>
      <c r="D170" s="1" t="s">
        <v>600</v>
      </c>
      <c r="E170" s="1" t="s">
        <v>99</v>
      </c>
      <c r="F170" s="1" t="s">
        <v>101</v>
      </c>
      <c r="I170" s="1" t="s">
        <v>600</v>
      </c>
      <c r="J170" s="1" t="s">
        <v>471</v>
      </c>
      <c r="K170" s="1" t="s">
        <v>262</v>
      </c>
      <c r="L170" s="1" t="s">
        <v>598</v>
      </c>
      <c r="M170" s="1" t="s">
        <v>472</v>
      </c>
      <c r="O170" s="1" t="s">
        <v>297</v>
      </c>
    </row>
    <row r="171" spans="1:15">
      <c r="A171" s="1">
        <v>39199</v>
      </c>
      <c r="B171" s="1" t="s">
        <v>205</v>
      </c>
      <c r="D171" s="1" t="s">
        <v>601</v>
      </c>
      <c r="E171" s="1" t="s">
        <v>99</v>
      </c>
      <c r="F171" s="1" t="s">
        <v>101</v>
      </c>
      <c r="I171" s="1" t="s">
        <v>601</v>
      </c>
      <c r="J171" s="1" t="s">
        <v>471</v>
      </c>
      <c r="K171" s="1" t="s">
        <v>262</v>
      </c>
      <c r="L171" s="1" t="s">
        <v>263</v>
      </c>
      <c r="M171" s="1" t="s">
        <v>472</v>
      </c>
      <c r="O171" s="1" t="s">
        <v>317</v>
      </c>
    </row>
    <row r="172" spans="1:15" ht="118.8">
      <c r="A172" s="1">
        <v>39195</v>
      </c>
      <c r="B172" s="1" t="s">
        <v>205</v>
      </c>
      <c r="D172" s="1" t="s">
        <v>602</v>
      </c>
      <c r="E172" s="1" t="s">
        <v>99</v>
      </c>
      <c r="F172" s="1" t="s">
        <v>101</v>
      </c>
      <c r="I172" s="111" t="s">
        <v>603</v>
      </c>
      <c r="J172" s="1" t="s">
        <v>471</v>
      </c>
      <c r="K172" s="1" t="s">
        <v>262</v>
      </c>
      <c r="L172" s="1" t="s">
        <v>263</v>
      </c>
      <c r="M172" s="1" t="s">
        <v>472</v>
      </c>
      <c r="O172" s="1" t="s">
        <v>297</v>
      </c>
    </row>
    <row r="173" spans="1:15" ht="184.8">
      <c r="A173" s="1">
        <v>39194</v>
      </c>
      <c r="B173" s="1" t="s">
        <v>236</v>
      </c>
      <c r="D173" s="1" t="s">
        <v>604</v>
      </c>
      <c r="E173" s="1" t="s">
        <v>99</v>
      </c>
      <c r="F173" s="1" t="s">
        <v>101</v>
      </c>
      <c r="I173" s="111" t="s">
        <v>605</v>
      </c>
      <c r="J173" s="1" t="s">
        <v>471</v>
      </c>
      <c r="K173" s="1" t="s">
        <v>262</v>
      </c>
      <c r="L173" s="1" t="s">
        <v>598</v>
      </c>
      <c r="M173" s="1" t="s">
        <v>472</v>
      </c>
      <c r="O173" s="1" t="s">
        <v>297</v>
      </c>
    </row>
    <row r="174" spans="1:15" ht="158.4">
      <c r="A174" s="1">
        <v>39193</v>
      </c>
      <c r="B174" s="1" t="s">
        <v>259</v>
      </c>
      <c r="D174" s="1" t="s">
        <v>606</v>
      </c>
      <c r="E174" s="1" t="s">
        <v>99</v>
      </c>
      <c r="F174" s="1" t="s">
        <v>101</v>
      </c>
      <c r="I174" s="111" t="s">
        <v>607</v>
      </c>
      <c r="J174" s="1" t="s">
        <v>471</v>
      </c>
      <c r="K174" s="1" t="s">
        <v>262</v>
      </c>
      <c r="L174" s="1" t="s">
        <v>263</v>
      </c>
      <c r="M174" s="1" t="s">
        <v>472</v>
      </c>
      <c r="O174" s="1" t="s">
        <v>297</v>
      </c>
    </row>
    <row r="175" spans="1:15" ht="171.6">
      <c r="A175" s="1">
        <v>39192</v>
      </c>
      <c r="B175" s="1" t="s">
        <v>259</v>
      </c>
      <c r="D175" s="1" t="s">
        <v>608</v>
      </c>
      <c r="E175" s="1" t="s">
        <v>99</v>
      </c>
      <c r="F175" s="1" t="s">
        <v>101</v>
      </c>
      <c r="I175" s="111" t="s">
        <v>609</v>
      </c>
      <c r="J175" s="1" t="s">
        <v>471</v>
      </c>
      <c r="K175" s="1" t="s">
        <v>262</v>
      </c>
      <c r="L175" s="1" t="s">
        <v>263</v>
      </c>
      <c r="M175" s="1" t="s">
        <v>472</v>
      </c>
      <c r="O175" s="1" t="s">
        <v>297</v>
      </c>
    </row>
    <row r="176" spans="1:15" ht="145.19999999999999">
      <c r="A176" s="1">
        <v>39191</v>
      </c>
      <c r="B176" s="1" t="s">
        <v>259</v>
      </c>
      <c r="D176" s="1" t="s">
        <v>610</v>
      </c>
      <c r="E176" s="1" t="s">
        <v>99</v>
      </c>
      <c r="F176" s="1" t="s">
        <v>101</v>
      </c>
      <c r="I176" s="111" t="s">
        <v>611</v>
      </c>
      <c r="J176" s="1" t="s">
        <v>471</v>
      </c>
      <c r="K176" s="1" t="s">
        <v>262</v>
      </c>
      <c r="L176" s="1" t="s">
        <v>263</v>
      </c>
      <c r="M176" s="1" t="s">
        <v>472</v>
      </c>
      <c r="O176" s="1" t="s">
        <v>297</v>
      </c>
    </row>
    <row r="177" spans="1:15" ht="158.4">
      <c r="A177" s="1">
        <v>39180</v>
      </c>
      <c r="B177" s="1" t="s">
        <v>205</v>
      </c>
      <c r="D177" s="1" t="s">
        <v>612</v>
      </c>
      <c r="E177" s="1" t="s">
        <v>99</v>
      </c>
      <c r="F177" s="1" t="s">
        <v>77</v>
      </c>
      <c r="I177" s="111" t="s">
        <v>613</v>
      </c>
      <c r="J177" s="1" t="s">
        <v>471</v>
      </c>
      <c r="K177" s="1" t="s">
        <v>363</v>
      </c>
      <c r="L177" s="1" t="s">
        <v>190</v>
      </c>
      <c r="M177" s="1" t="s">
        <v>472</v>
      </c>
      <c r="O177" s="1" t="s">
        <v>297</v>
      </c>
    </row>
    <row r="178" spans="1:15" ht="118.8">
      <c r="A178" s="1">
        <v>39179</v>
      </c>
      <c r="B178" s="1" t="s">
        <v>205</v>
      </c>
      <c r="D178" s="1" t="s">
        <v>614</v>
      </c>
      <c r="E178" s="1" t="s">
        <v>99</v>
      </c>
      <c r="F178" s="1" t="s">
        <v>101</v>
      </c>
      <c r="I178" s="111" t="s">
        <v>615</v>
      </c>
      <c r="J178" s="1" t="s">
        <v>471</v>
      </c>
      <c r="K178" s="1" t="s">
        <v>363</v>
      </c>
      <c r="L178" s="1" t="s">
        <v>190</v>
      </c>
      <c r="M178" s="1" t="s">
        <v>472</v>
      </c>
      <c r="O178" s="1" t="s">
        <v>297</v>
      </c>
    </row>
    <row r="179" spans="1:15" ht="92.4">
      <c r="A179" s="1">
        <v>39178</v>
      </c>
      <c r="B179" s="1" t="s">
        <v>205</v>
      </c>
      <c r="D179" s="1" t="s">
        <v>616</v>
      </c>
      <c r="E179" s="1" t="s">
        <v>99</v>
      </c>
      <c r="F179" s="1" t="s">
        <v>101</v>
      </c>
      <c r="I179" s="111" t="s">
        <v>617</v>
      </c>
      <c r="J179" s="1" t="s">
        <v>471</v>
      </c>
      <c r="K179" s="1" t="s">
        <v>363</v>
      </c>
      <c r="L179" s="1" t="s">
        <v>190</v>
      </c>
      <c r="M179" s="1" t="s">
        <v>472</v>
      </c>
      <c r="O179" s="1" t="s">
        <v>297</v>
      </c>
    </row>
    <row r="180" spans="1:15" ht="79.2">
      <c r="A180" s="1">
        <v>39176</v>
      </c>
      <c r="B180" s="1" t="s">
        <v>205</v>
      </c>
      <c r="D180" s="1" t="s">
        <v>618</v>
      </c>
      <c r="E180" s="1" t="s">
        <v>99</v>
      </c>
      <c r="F180" s="1" t="s">
        <v>101</v>
      </c>
      <c r="I180" s="111" t="s">
        <v>619</v>
      </c>
      <c r="J180" s="1" t="s">
        <v>471</v>
      </c>
      <c r="K180" s="1" t="s">
        <v>363</v>
      </c>
      <c r="L180" s="1" t="s">
        <v>190</v>
      </c>
      <c r="M180" s="1" t="s">
        <v>472</v>
      </c>
      <c r="O180" s="1" t="s">
        <v>297</v>
      </c>
    </row>
    <row r="181" spans="1:15" ht="39.6">
      <c r="A181" s="1">
        <v>39175</v>
      </c>
      <c r="B181" s="1" t="s">
        <v>205</v>
      </c>
      <c r="D181" s="1" t="s">
        <v>620</v>
      </c>
      <c r="E181" s="1" t="s">
        <v>99</v>
      </c>
      <c r="F181" s="1" t="s">
        <v>100</v>
      </c>
      <c r="I181" s="111" t="s">
        <v>621</v>
      </c>
      <c r="J181" s="1" t="s">
        <v>471</v>
      </c>
      <c r="K181" s="1" t="s">
        <v>363</v>
      </c>
      <c r="L181" s="1" t="s">
        <v>190</v>
      </c>
      <c r="M181" s="1" t="s">
        <v>472</v>
      </c>
      <c r="O181" s="1" t="s">
        <v>317</v>
      </c>
    </row>
    <row r="182" spans="1:15" ht="79.2">
      <c r="A182" s="1">
        <v>39174</v>
      </c>
      <c r="B182" s="1" t="s">
        <v>205</v>
      </c>
      <c r="D182" s="1" t="s">
        <v>622</v>
      </c>
      <c r="E182" s="1" t="s">
        <v>99</v>
      </c>
      <c r="F182" s="1" t="s">
        <v>77</v>
      </c>
      <c r="I182" s="111" t="s">
        <v>623</v>
      </c>
      <c r="J182" s="1" t="s">
        <v>471</v>
      </c>
      <c r="K182" s="1" t="s">
        <v>363</v>
      </c>
      <c r="L182" s="1" t="s">
        <v>190</v>
      </c>
      <c r="M182" s="1" t="s">
        <v>472</v>
      </c>
      <c r="O182" s="1" t="s">
        <v>301</v>
      </c>
    </row>
    <row r="183" spans="1:15" ht="66">
      <c r="A183" s="1">
        <v>39173</v>
      </c>
      <c r="B183" s="1" t="s">
        <v>205</v>
      </c>
      <c r="D183" s="1" t="s">
        <v>624</v>
      </c>
      <c r="E183" s="1" t="s">
        <v>99</v>
      </c>
      <c r="F183" s="1" t="s">
        <v>96</v>
      </c>
      <c r="I183" s="111" t="s">
        <v>625</v>
      </c>
      <c r="J183" s="1" t="s">
        <v>471</v>
      </c>
      <c r="K183" s="1" t="s">
        <v>363</v>
      </c>
      <c r="L183" s="1" t="s">
        <v>263</v>
      </c>
      <c r="M183" s="1" t="s">
        <v>472</v>
      </c>
      <c r="O183" s="1" t="s">
        <v>297</v>
      </c>
    </row>
    <row r="184" spans="1:15" ht="66">
      <c r="A184" s="1">
        <v>39172</v>
      </c>
      <c r="B184" s="1" t="s">
        <v>186</v>
      </c>
      <c r="D184" s="1" t="s">
        <v>626</v>
      </c>
      <c r="E184" s="1" t="s">
        <v>99</v>
      </c>
      <c r="F184" s="1" t="s">
        <v>101</v>
      </c>
      <c r="I184" s="111" t="s">
        <v>627</v>
      </c>
      <c r="J184" s="1" t="s">
        <v>471</v>
      </c>
      <c r="K184" s="1" t="s">
        <v>363</v>
      </c>
      <c r="L184" s="1" t="s">
        <v>190</v>
      </c>
      <c r="M184" s="1" t="s">
        <v>472</v>
      </c>
      <c r="O184" s="1" t="s">
        <v>338</v>
      </c>
    </row>
    <row r="185" spans="1:15" ht="92.4">
      <c r="A185" s="1">
        <v>39171</v>
      </c>
      <c r="B185" s="1" t="s">
        <v>628</v>
      </c>
      <c r="D185" s="1" t="s">
        <v>629</v>
      </c>
      <c r="E185" s="1" t="s">
        <v>99</v>
      </c>
      <c r="F185" s="1" t="s">
        <v>103</v>
      </c>
      <c r="I185" s="111" t="s">
        <v>630</v>
      </c>
      <c r="J185" s="1" t="s">
        <v>471</v>
      </c>
      <c r="K185" s="1" t="s">
        <v>363</v>
      </c>
      <c r="L185" s="1" t="s">
        <v>190</v>
      </c>
      <c r="M185" s="1" t="s">
        <v>472</v>
      </c>
      <c r="O185" s="1" t="s">
        <v>297</v>
      </c>
    </row>
    <row r="186" spans="1:15" ht="105.6">
      <c r="A186" s="1">
        <v>39170</v>
      </c>
      <c r="B186" s="1" t="s">
        <v>631</v>
      </c>
      <c r="D186" s="1" t="s">
        <v>632</v>
      </c>
      <c r="E186" s="1" t="s">
        <v>99</v>
      </c>
      <c r="F186" s="1" t="s">
        <v>101</v>
      </c>
      <c r="I186" s="111" t="s">
        <v>633</v>
      </c>
      <c r="J186" s="1" t="s">
        <v>471</v>
      </c>
      <c r="K186" s="1" t="s">
        <v>262</v>
      </c>
      <c r="L186" s="1" t="s">
        <v>263</v>
      </c>
      <c r="M186" s="1" t="s">
        <v>472</v>
      </c>
      <c r="O186" s="1" t="s">
        <v>297</v>
      </c>
    </row>
    <row r="187" spans="1:15" ht="171.6">
      <c r="A187" s="1">
        <v>39169</v>
      </c>
      <c r="B187" s="1" t="s">
        <v>634</v>
      </c>
      <c r="D187" s="1" t="s">
        <v>635</v>
      </c>
      <c r="E187" s="1" t="s">
        <v>99</v>
      </c>
      <c r="F187" s="1" t="s">
        <v>101</v>
      </c>
      <c r="I187" s="111" t="s">
        <v>636</v>
      </c>
      <c r="J187" s="1" t="s">
        <v>471</v>
      </c>
      <c r="K187" s="1" t="s">
        <v>262</v>
      </c>
      <c r="L187" s="1" t="s">
        <v>263</v>
      </c>
      <c r="M187" s="1" t="s">
        <v>472</v>
      </c>
      <c r="O187" s="1" t="s">
        <v>297</v>
      </c>
    </row>
    <row r="188" spans="1:15" ht="92.4">
      <c r="A188" s="1">
        <v>39168</v>
      </c>
      <c r="B188" s="1" t="s">
        <v>259</v>
      </c>
      <c r="D188" s="1" t="s">
        <v>637</v>
      </c>
      <c r="E188" s="1" t="s">
        <v>95</v>
      </c>
      <c r="F188" s="1" t="s">
        <v>101</v>
      </c>
      <c r="I188" s="111" t="s">
        <v>638</v>
      </c>
      <c r="J188" s="1" t="s">
        <v>471</v>
      </c>
      <c r="K188" s="1" t="s">
        <v>262</v>
      </c>
      <c r="L188" s="1" t="s">
        <v>263</v>
      </c>
      <c r="M188" s="1" t="s">
        <v>472</v>
      </c>
      <c r="O188" s="1" t="s">
        <v>297</v>
      </c>
    </row>
    <row r="189" spans="1:15">
      <c r="A189" s="1">
        <v>39167</v>
      </c>
      <c r="B189" s="1" t="s">
        <v>236</v>
      </c>
      <c r="D189" s="1" t="s">
        <v>639</v>
      </c>
      <c r="E189" s="1" t="s">
        <v>99</v>
      </c>
      <c r="F189" s="1" t="s">
        <v>100</v>
      </c>
      <c r="I189" s="1" t="s">
        <v>639</v>
      </c>
      <c r="J189" s="1" t="s">
        <v>471</v>
      </c>
      <c r="K189" s="1" t="s">
        <v>262</v>
      </c>
      <c r="L189" s="1" t="s">
        <v>598</v>
      </c>
      <c r="M189" s="1" t="s">
        <v>472</v>
      </c>
      <c r="O189" s="1" t="s">
        <v>297</v>
      </c>
    </row>
    <row r="190" spans="1:15">
      <c r="A190" s="1">
        <v>39166</v>
      </c>
      <c r="B190" s="1" t="s">
        <v>236</v>
      </c>
      <c r="D190" s="1" t="s">
        <v>640</v>
      </c>
      <c r="E190" s="1" t="s">
        <v>99</v>
      </c>
      <c r="F190" s="1" t="s">
        <v>77</v>
      </c>
      <c r="I190" s="1" t="s">
        <v>641</v>
      </c>
      <c r="J190" s="1" t="s">
        <v>471</v>
      </c>
      <c r="K190" s="1" t="s">
        <v>262</v>
      </c>
      <c r="L190" s="1" t="s">
        <v>598</v>
      </c>
      <c r="M190" s="1" t="s">
        <v>472</v>
      </c>
      <c r="O190" s="1" t="s">
        <v>338</v>
      </c>
    </row>
    <row r="191" spans="1:15">
      <c r="A191" s="1">
        <v>39164</v>
      </c>
      <c r="B191" s="1" t="s">
        <v>205</v>
      </c>
      <c r="D191" s="1" t="s">
        <v>642</v>
      </c>
      <c r="E191" s="1" t="s">
        <v>99</v>
      </c>
      <c r="F191" s="1" t="s">
        <v>77</v>
      </c>
      <c r="I191" s="1" t="s">
        <v>643</v>
      </c>
      <c r="J191" s="1" t="s">
        <v>471</v>
      </c>
      <c r="K191" s="1" t="s">
        <v>262</v>
      </c>
      <c r="L191" s="1" t="s">
        <v>263</v>
      </c>
      <c r="M191" s="1" t="s">
        <v>472</v>
      </c>
      <c r="O191" s="1" t="s">
        <v>297</v>
      </c>
    </row>
    <row r="192" spans="1:15" ht="105.6">
      <c r="A192" s="1">
        <v>39163</v>
      </c>
      <c r="B192" s="1" t="s">
        <v>631</v>
      </c>
      <c r="D192" s="1" t="s">
        <v>644</v>
      </c>
      <c r="E192" s="1" t="s">
        <v>99</v>
      </c>
      <c r="F192" s="1" t="s">
        <v>101</v>
      </c>
      <c r="I192" s="111" t="s">
        <v>645</v>
      </c>
      <c r="J192" s="1" t="s">
        <v>471</v>
      </c>
      <c r="K192" s="1" t="s">
        <v>262</v>
      </c>
      <c r="L192" s="1" t="s">
        <v>263</v>
      </c>
      <c r="M192" s="1" t="s">
        <v>472</v>
      </c>
      <c r="O192" s="1" t="s">
        <v>338</v>
      </c>
    </row>
    <row r="193" spans="1:15" ht="184.8">
      <c r="A193" s="1">
        <v>39162</v>
      </c>
      <c r="B193" s="1" t="s">
        <v>634</v>
      </c>
      <c r="D193" s="1" t="s">
        <v>646</v>
      </c>
      <c r="E193" s="1" t="s">
        <v>95</v>
      </c>
      <c r="F193" s="1" t="s">
        <v>101</v>
      </c>
      <c r="I193" s="111" t="s">
        <v>647</v>
      </c>
      <c r="J193" s="1" t="s">
        <v>471</v>
      </c>
      <c r="K193" s="1" t="s">
        <v>262</v>
      </c>
      <c r="L193" s="1" t="s">
        <v>263</v>
      </c>
      <c r="M193" s="1" t="s">
        <v>472</v>
      </c>
      <c r="O193" s="1" t="s">
        <v>297</v>
      </c>
    </row>
    <row r="194" spans="1:15" ht="237.6">
      <c r="A194" s="1">
        <v>39161</v>
      </c>
      <c r="B194" s="1" t="s">
        <v>375</v>
      </c>
      <c r="D194" s="1" t="s">
        <v>648</v>
      </c>
      <c r="E194" s="1" t="s">
        <v>99</v>
      </c>
      <c r="F194" s="1" t="s">
        <v>101</v>
      </c>
      <c r="I194" s="111" t="s">
        <v>649</v>
      </c>
      <c r="J194" s="1" t="s">
        <v>471</v>
      </c>
      <c r="K194" s="1" t="s">
        <v>262</v>
      </c>
      <c r="L194" s="1" t="s">
        <v>263</v>
      </c>
      <c r="M194" s="1" t="s">
        <v>472</v>
      </c>
      <c r="O194" s="1" t="s">
        <v>297</v>
      </c>
    </row>
    <row r="195" spans="1:15" ht="237.6">
      <c r="A195" s="1">
        <v>39160</v>
      </c>
      <c r="B195" s="1" t="s">
        <v>634</v>
      </c>
      <c r="D195" s="1" t="s">
        <v>650</v>
      </c>
      <c r="E195" s="1" t="s">
        <v>99</v>
      </c>
      <c r="F195" s="1" t="s">
        <v>101</v>
      </c>
      <c r="I195" s="111" t="s">
        <v>651</v>
      </c>
      <c r="J195" s="1" t="s">
        <v>471</v>
      </c>
      <c r="K195" s="1" t="s">
        <v>262</v>
      </c>
      <c r="L195" s="1" t="s">
        <v>263</v>
      </c>
      <c r="M195" s="1" t="s">
        <v>472</v>
      </c>
      <c r="O195" s="1" t="s">
        <v>297</v>
      </c>
    </row>
    <row r="196" spans="1:15" ht="198">
      <c r="A196" s="1">
        <v>39159</v>
      </c>
      <c r="B196" s="1" t="s">
        <v>236</v>
      </c>
      <c r="D196" s="1" t="s">
        <v>652</v>
      </c>
      <c r="E196" s="1" t="s">
        <v>99</v>
      </c>
      <c r="F196" s="1" t="s">
        <v>101</v>
      </c>
      <c r="I196" s="111" t="s">
        <v>653</v>
      </c>
      <c r="J196" s="1" t="s">
        <v>471</v>
      </c>
      <c r="K196" s="1" t="s">
        <v>262</v>
      </c>
      <c r="L196" s="1" t="s">
        <v>598</v>
      </c>
      <c r="M196" s="1" t="s">
        <v>472</v>
      </c>
      <c r="O196" s="1" t="s">
        <v>297</v>
      </c>
    </row>
    <row r="197" spans="1:15" ht="171.6">
      <c r="A197" s="1">
        <v>39158</v>
      </c>
      <c r="B197" s="1" t="s">
        <v>236</v>
      </c>
      <c r="D197" s="1" t="s">
        <v>654</v>
      </c>
      <c r="E197" s="1" t="s">
        <v>99</v>
      </c>
      <c r="F197" s="1" t="s">
        <v>101</v>
      </c>
      <c r="I197" s="111" t="s">
        <v>655</v>
      </c>
      <c r="J197" s="1" t="s">
        <v>471</v>
      </c>
      <c r="K197" s="1" t="s">
        <v>262</v>
      </c>
      <c r="L197" s="111" t="s">
        <v>656</v>
      </c>
      <c r="M197" s="1" t="s">
        <v>472</v>
      </c>
      <c r="O197" s="1" t="s">
        <v>297</v>
      </c>
    </row>
    <row r="198" spans="1:15" ht="343.2">
      <c r="A198" s="1">
        <v>39157</v>
      </c>
      <c r="B198" s="1" t="s">
        <v>236</v>
      </c>
      <c r="D198" s="1" t="s">
        <v>657</v>
      </c>
      <c r="E198" s="1" t="s">
        <v>99</v>
      </c>
      <c r="F198" s="1" t="s">
        <v>101</v>
      </c>
      <c r="I198" s="111" t="s">
        <v>658</v>
      </c>
      <c r="J198" s="1" t="s">
        <v>471</v>
      </c>
      <c r="K198" s="1" t="s">
        <v>262</v>
      </c>
      <c r="L198" s="1" t="s">
        <v>598</v>
      </c>
      <c r="M198" s="1" t="s">
        <v>472</v>
      </c>
      <c r="O198" s="1" t="s">
        <v>297</v>
      </c>
    </row>
    <row r="199" spans="1:15" ht="145.19999999999999">
      <c r="A199" s="1">
        <v>39155</v>
      </c>
      <c r="B199" s="1" t="s">
        <v>236</v>
      </c>
      <c r="D199" s="1" t="s">
        <v>659</v>
      </c>
      <c r="E199" s="1" t="s">
        <v>99</v>
      </c>
      <c r="F199" s="1" t="s">
        <v>101</v>
      </c>
      <c r="I199" s="111" t="s">
        <v>660</v>
      </c>
      <c r="J199" s="1" t="s">
        <v>471</v>
      </c>
      <c r="K199" s="1" t="s">
        <v>262</v>
      </c>
      <c r="L199" s="1" t="s">
        <v>598</v>
      </c>
      <c r="M199" s="1" t="s">
        <v>472</v>
      </c>
      <c r="O199" s="1" t="s">
        <v>297</v>
      </c>
    </row>
    <row r="200" spans="1:15" ht="145.19999999999999">
      <c r="A200" s="1">
        <v>38389</v>
      </c>
      <c r="B200" s="1" t="s">
        <v>228</v>
      </c>
      <c r="D200" s="1" t="s">
        <v>661</v>
      </c>
      <c r="E200" s="1" t="s">
        <v>99</v>
      </c>
      <c r="F200" s="1" t="s">
        <v>100</v>
      </c>
      <c r="I200" s="111" t="s">
        <v>662</v>
      </c>
      <c r="J200" s="1" t="s">
        <v>471</v>
      </c>
      <c r="K200" s="1" t="s">
        <v>269</v>
      </c>
      <c r="L200" s="1" t="s">
        <v>663</v>
      </c>
      <c r="M200" s="1" t="s">
        <v>472</v>
      </c>
      <c r="O200" s="1" t="s">
        <v>297</v>
      </c>
    </row>
    <row r="201" spans="1:15" ht="132">
      <c r="A201" s="1">
        <v>38388</v>
      </c>
      <c r="B201" s="1" t="s">
        <v>277</v>
      </c>
      <c r="D201" s="1" t="s">
        <v>664</v>
      </c>
      <c r="E201" s="1" t="s">
        <v>99</v>
      </c>
      <c r="F201" s="1" t="s">
        <v>100</v>
      </c>
      <c r="I201" s="111" t="s">
        <v>665</v>
      </c>
      <c r="J201" s="1" t="s">
        <v>471</v>
      </c>
      <c r="K201" s="1" t="s">
        <v>269</v>
      </c>
      <c r="L201" s="1" t="s">
        <v>666</v>
      </c>
      <c r="M201" s="1" t="s">
        <v>472</v>
      </c>
      <c r="O201" s="1" t="s">
        <v>317</v>
      </c>
    </row>
    <row r="202" spans="1:15" ht="211.2">
      <c r="A202" s="1">
        <v>38387</v>
      </c>
      <c r="B202" s="1" t="s">
        <v>236</v>
      </c>
      <c r="D202" s="1" t="s">
        <v>667</v>
      </c>
      <c r="E202" s="1" t="s">
        <v>99</v>
      </c>
      <c r="F202" s="1" t="s">
        <v>100</v>
      </c>
      <c r="I202" s="111" t="s">
        <v>668</v>
      </c>
      <c r="J202" s="1" t="s">
        <v>471</v>
      </c>
      <c r="K202" s="1" t="s">
        <v>269</v>
      </c>
      <c r="L202" s="1" t="s">
        <v>663</v>
      </c>
      <c r="M202" s="1" t="s">
        <v>472</v>
      </c>
      <c r="O202" s="1" t="s">
        <v>297</v>
      </c>
    </row>
    <row r="203" spans="1:15" ht="184.8">
      <c r="A203" s="1">
        <v>38386</v>
      </c>
      <c r="B203" s="1" t="s">
        <v>236</v>
      </c>
      <c r="D203" s="1" t="s">
        <v>669</v>
      </c>
      <c r="E203" s="1" t="s">
        <v>99</v>
      </c>
      <c r="F203" s="1" t="s">
        <v>100</v>
      </c>
      <c r="I203" s="111" t="s">
        <v>670</v>
      </c>
      <c r="J203" s="1" t="s">
        <v>471</v>
      </c>
      <c r="K203" s="1" t="s">
        <v>269</v>
      </c>
      <c r="L203" s="1" t="s">
        <v>663</v>
      </c>
      <c r="M203" s="1" t="s">
        <v>472</v>
      </c>
      <c r="O203" s="1" t="s">
        <v>317</v>
      </c>
    </row>
    <row r="204" spans="1:15" ht="132">
      <c r="A204" s="1">
        <v>38385</v>
      </c>
      <c r="B204" s="1" t="s">
        <v>236</v>
      </c>
      <c r="D204" s="1" t="s">
        <v>671</v>
      </c>
      <c r="E204" s="1" t="s">
        <v>99</v>
      </c>
      <c r="F204" s="1" t="s">
        <v>100</v>
      </c>
      <c r="I204" s="111" t="s">
        <v>672</v>
      </c>
      <c r="J204" s="1" t="s">
        <v>471</v>
      </c>
      <c r="K204" s="1" t="s">
        <v>269</v>
      </c>
      <c r="L204" s="1" t="s">
        <v>663</v>
      </c>
      <c r="M204" s="1" t="s">
        <v>472</v>
      </c>
      <c r="N204" s="1" t="s">
        <v>673</v>
      </c>
      <c r="O204" s="1" t="s">
        <v>297</v>
      </c>
    </row>
    <row r="205" spans="1:15" ht="132">
      <c r="A205" s="1">
        <v>38384</v>
      </c>
      <c r="B205" s="1" t="s">
        <v>236</v>
      </c>
      <c r="D205" s="1" t="s">
        <v>674</v>
      </c>
      <c r="E205" s="1" t="s">
        <v>99</v>
      </c>
      <c r="F205" s="1" t="s">
        <v>105</v>
      </c>
      <c r="I205" s="111" t="s">
        <v>675</v>
      </c>
      <c r="J205" s="1" t="s">
        <v>471</v>
      </c>
      <c r="K205" s="1" t="s">
        <v>269</v>
      </c>
      <c r="L205" s="1" t="s">
        <v>663</v>
      </c>
      <c r="M205" s="1" t="s">
        <v>472</v>
      </c>
      <c r="N205" s="1" t="s">
        <v>271</v>
      </c>
      <c r="O205" s="1" t="s">
        <v>297</v>
      </c>
    </row>
    <row r="206" spans="1:15" ht="171.6">
      <c r="A206" s="1">
        <v>38383</v>
      </c>
      <c r="B206" s="1" t="s">
        <v>236</v>
      </c>
      <c r="D206" s="1" t="s">
        <v>676</v>
      </c>
      <c r="E206" s="1" t="s">
        <v>99</v>
      </c>
      <c r="F206" s="1" t="s">
        <v>100</v>
      </c>
      <c r="I206" s="111" t="s">
        <v>677</v>
      </c>
      <c r="J206" s="1" t="s">
        <v>471</v>
      </c>
      <c r="K206" s="1" t="s">
        <v>269</v>
      </c>
      <c r="L206" s="1" t="s">
        <v>663</v>
      </c>
      <c r="M206" s="1" t="s">
        <v>472</v>
      </c>
      <c r="N206" s="1" t="s">
        <v>271</v>
      </c>
      <c r="O206" s="1" t="s">
        <v>297</v>
      </c>
    </row>
    <row r="207" spans="1:15" ht="158.4">
      <c r="A207" s="1">
        <v>38382</v>
      </c>
      <c r="B207" s="1" t="s">
        <v>236</v>
      </c>
      <c r="D207" s="1" t="s">
        <v>678</v>
      </c>
      <c r="E207" s="1" t="s">
        <v>102</v>
      </c>
      <c r="F207" s="1" t="s">
        <v>100</v>
      </c>
      <c r="I207" s="111" t="s">
        <v>679</v>
      </c>
      <c r="J207" s="1" t="s">
        <v>471</v>
      </c>
      <c r="K207" s="1" t="s">
        <v>269</v>
      </c>
      <c r="L207" s="1" t="s">
        <v>663</v>
      </c>
      <c r="M207" s="1" t="s">
        <v>472</v>
      </c>
      <c r="N207" s="1" t="s">
        <v>680</v>
      </c>
      <c r="O207" s="1" t="s">
        <v>297</v>
      </c>
    </row>
    <row r="208" spans="1:15" ht="250.8">
      <c r="A208" s="1">
        <v>38374</v>
      </c>
      <c r="B208" s="1" t="s">
        <v>277</v>
      </c>
      <c r="D208" s="1" t="s">
        <v>681</v>
      </c>
      <c r="E208" s="1" t="s">
        <v>99</v>
      </c>
      <c r="F208" s="1" t="s">
        <v>100</v>
      </c>
      <c r="I208" s="111" t="s">
        <v>682</v>
      </c>
      <c r="J208" s="1" t="s">
        <v>471</v>
      </c>
      <c r="K208" s="1" t="s">
        <v>269</v>
      </c>
      <c r="L208" s="1" t="s">
        <v>666</v>
      </c>
      <c r="M208" s="1" t="s">
        <v>472</v>
      </c>
      <c r="N208" s="1" t="s">
        <v>305</v>
      </c>
      <c r="O208" s="1" t="s">
        <v>297</v>
      </c>
    </row>
    <row r="209" spans="1:15" ht="132">
      <c r="A209" s="1">
        <v>38371</v>
      </c>
      <c r="B209" s="1" t="s">
        <v>236</v>
      </c>
      <c r="D209" s="1" t="s">
        <v>683</v>
      </c>
      <c r="E209" s="1" t="s">
        <v>99</v>
      </c>
      <c r="F209" s="1" t="s">
        <v>100</v>
      </c>
      <c r="I209" s="111" t="s">
        <v>684</v>
      </c>
      <c r="J209" s="1" t="s">
        <v>471</v>
      </c>
      <c r="K209" s="1" t="s">
        <v>269</v>
      </c>
      <c r="L209" s="1" t="s">
        <v>663</v>
      </c>
      <c r="M209" s="1" t="s">
        <v>472</v>
      </c>
      <c r="N209" s="1" t="s">
        <v>685</v>
      </c>
      <c r="O209" s="1" t="s">
        <v>317</v>
      </c>
    </row>
    <row r="210" spans="1:15" ht="118.8">
      <c r="A210" s="1">
        <v>38335</v>
      </c>
      <c r="B210" s="1" t="s">
        <v>186</v>
      </c>
      <c r="D210" s="1" t="s">
        <v>686</v>
      </c>
      <c r="E210" s="1" t="s">
        <v>99</v>
      </c>
      <c r="F210" s="1" t="s">
        <v>100</v>
      </c>
      <c r="I210" s="111" t="s">
        <v>687</v>
      </c>
      <c r="J210" s="1" t="s">
        <v>471</v>
      </c>
      <c r="K210" s="1" t="s">
        <v>269</v>
      </c>
      <c r="L210" s="1" t="s">
        <v>663</v>
      </c>
      <c r="M210" s="1" t="s">
        <v>472</v>
      </c>
      <c r="O210" s="1" t="s">
        <v>329</v>
      </c>
    </row>
    <row r="211" spans="1:15" ht="132">
      <c r="A211" s="1">
        <v>38334</v>
      </c>
      <c r="B211" s="1" t="s">
        <v>628</v>
      </c>
      <c r="D211" s="1" t="s">
        <v>688</v>
      </c>
      <c r="E211" s="1" t="s">
        <v>99</v>
      </c>
      <c r="F211" s="1" t="s">
        <v>100</v>
      </c>
      <c r="I211" s="111" t="s">
        <v>689</v>
      </c>
      <c r="J211" s="1" t="s">
        <v>471</v>
      </c>
      <c r="K211" s="1" t="s">
        <v>269</v>
      </c>
      <c r="L211" s="1" t="s">
        <v>666</v>
      </c>
      <c r="M211" s="1" t="s">
        <v>472</v>
      </c>
      <c r="O211" s="1" t="s">
        <v>329</v>
      </c>
    </row>
    <row r="212" spans="1:15" ht="145.19999999999999">
      <c r="A212" s="1">
        <v>38333</v>
      </c>
      <c r="B212" s="1" t="s">
        <v>259</v>
      </c>
      <c r="D212" s="1" t="s">
        <v>690</v>
      </c>
      <c r="E212" s="1" t="s">
        <v>99</v>
      </c>
      <c r="F212" s="1" t="s">
        <v>100</v>
      </c>
      <c r="I212" s="111" t="s">
        <v>691</v>
      </c>
      <c r="J212" s="1" t="s">
        <v>471</v>
      </c>
      <c r="K212" s="1" t="s">
        <v>269</v>
      </c>
      <c r="L212" s="1" t="s">
        <v>666</v>
      </c>
      <c r="M212" s="1" t="s">
        <v>472</v>
      </c>
      <c r="O212" s="1" t="s">
        <v>692</v>
      </c>
    </row>
    <row r="213" spans="1:15" ht="132">
      <c r="A213" s="1">
        <v>38332</v>
      </c>
      <c r="B213" s="1" t="s">
        <v>259</v>
      </c>
      <c r="D213" s="1" t="s">
        <v>693</v>
      </c>
      <c r="E213" s="1" t="s">
        <v>99</v>
      </c>
      <c r="F213" s="1" t="s">
        <v>100</v>
      </c>
      <c r="I213" s="111" t="s">
        <v>694</v>
      </c>
      <c r="J213" s="1" t="s">
        <v>471</v>
      </c>
      <c r="K213" s="1" t="s">
        <v>269</v>
      </c>
      <c r="L213" s="1" t="s">
        <v>666</v>
      </c>
      <c r="M213" s="1" t="s">
        <v>472</v>
      </c>
      <c r="O213" s="1" t="s">
        <v>692</v>
      </c>
    </row>
    <row r="214" spans="1:15" ht="158.4">
      <c r="A214" s="1">
        <v>38073</v>
      </c>
      <c r="B214" s="1" t="s">
        <v>259</v>
      </c>
      <c r="D214" s="1" t="s">
        <v>695</v>
      </c>
      <c r="E214" s="1" t="s">
        <v>99</v>
      </c>
      <c r="F214" s="1" t="s">
        <v>100</v>
      </c>
      <c r="I214" s="111" t="s">
        <v>696</v>
      </c>
      <c r="J214" s="1" t="s">
        <v>471</v>
      </c>
      <c r="K214" s="1" t="s">
        <v>269</v>
      </c>
      <c r="L214" s="1" t="s">
        <v>378</v>
      </c>
      <c r="M214" s="1" t="s">
        <v>472</v>
      </c>
      <c r="O214" s="1" t="s">
        <v>297</v>
      </c>
    </row>
    <row r="215" spans="1:15" ht="158.4">
      <c r="A215" s="1">
        <v>38071</v>
      </c>
      <c r="B215" s="1" t="s">
        <v>259</v>
      </c>
      <c r="D215" s="1" t="s">
        <v>697</v>
      </c>
      <c r="E215" s="1" t="s">
        <v>99</v>
      </c>
      <c r="F215" s="1" t="s">
        <v>100</v>
      </c>
      <c r="I215" s="111" t="s">
        <v>698</v>
      </c>
      <c r="J215" s="1" t="s">
        <v>471</v>
      </c>
      <c r="K215" s="1" t="s">
        <v>269</v>
      </c>
      <c r="L215" s="1" t="s">
        <v>378</v>
      </c>
      <c r="M215" s="1" t="s">
        <v>472</v>
      </c>
      <c r="O215" s="1" t="s">
        <v>297</v>
      </c>
    </row>
    <row r="216" spans="1:15" ht="158.4">
      <c r="A216" s="1">
        <v>38047</v>
      </c>
      <c r="B216" s="1" t="s">
        <v>205</v>
      </c>
      <c r="D216" s="1" t="s">
        <v>699</v>
      </c>
      <c r="E216" s="1" t="s">
        <v>99</v>
      </c>
      <c r="F216" s="1" t="s">
        <v>100</v>
      </c>
      <c r="I216" s="111" t="s">
        <v>700</v>
      </c>
      <c r="J216" s="1" t="s">
        <v>471</v>
      </c>
      <c r="K216" s="1" t="s">
        <v>269</v>
      </c>
      <c r="L216" s="1" t="s">
        <v>378</v>
      </c>
      <c r="M216" s="1" t="s">
        <v>472</v>
      </c>
      <c r="O216" s="1" t="s">
        <v>297</v>
      </c>
    </row>
    <row r="217" spans="1:15" ht="145.19999999999999">
      <c r="A217" s="1">
        <v>38024</v>
      </c>
      <c r="B217" s="1" t="s">
        <v>236</v>
      </c>
      <c r="D217" s="1" t="s">
        <v>701</v>
      </c>
      <c r="E217" s="1" t="s">
        <v>99</v>
      </c>
      <c r="F217" s="1" t="s">
        <v>100</v>
      </c>
      <c r="I217" s="111" t="s">
        <v>702</v>
      </c>
      <c r="J217" s="1" t="s">
        <v>471</v>
      </c>
      <c r="K217" s="1" t="s">
        <v>269</v>
      </c>
      <c r="L217" s="1" t="s">
        <v>703</v>
      </c>
      <c r="M217" s="1" t="s">
        <v>472</v>
      </c>
      <c r="O217" s="1" t="s">
        <v>297</v>
      </c>
    </row>
    <row r="218" spans="1:15" ht="92.4">
      <c r="A218" s="1">
        <v>38023</v>
      </c>
      <c r="B218" s="1" t="s">
        <v>236</v>
      </c>
      <c r="D218" s="1" t="s">
        <v>704</v>
      </c>
      <c r="E218" s="1" t="s">
        <v>99</v>
      </c>
      <c r="F218" s="1" t="s">
        <v>100</v>
      </c>
      <c r="I218" s="111" t="s">
        <v>705</v>
      </c>
      <c r="J218" s="1" t="s">
        <v>471</v>
      </c>
      <c r="K218" s="1" t="s">
        <v>269</v>
      </c>
      <c r="L218" s="1" t="s">
        <v>703</v>
      </c>
      <c r="M218" s="1" t="s">
        <v>472</v>
      </c>
      <c r="O218" s="1" t="s">
        <v>692</v>
      </c>
    </row>
    <row r="219" spans="1:15" ht="145.19999999999999">
      <c r="A219" s="1">
        <v>38020</v>
      </c>
      <c r="B219" s="1" t="s">
        <v>259</v>
      </c>
      <c r="D219" s="1" t="s">
        <v>706</v>
      </c>
      <c r="E219" s="1" t="s">
        <v>99</v>
      </c>
      <c r="F219" s="1" t="s">
        <v>100</v>
      </c>
      <c r="I219" s="111" t="s">
        <v>707</v>
      </c>
      <c r="J219" s="1" t="s">
        <v>471</v>
      </c>
      <c r="K219" s="1" t="s">
        <v>269</v>
      </c>
      <c r="L219" s="1" t="s">
        <v>378</v>
      </c>
      <c r="M219" s="1" t="s">
        <v>472</v>
      </c>
      <c r="O219" s="1" t="s">
        <v>298</v>
      </c>
    </row>
    <row r="220" spans="1:15" ht="145.19999999999999">
      <c r="A220" s="1">
        <v>38019</v>
      </c>
      <c r="B220" s="1" t="s">
        <v>236</v>
      </c>
      <c r="D220" s="1" t="s">
        <v>708</v>
      </c>
      <c r="E220" s="1" t="s">
        <v>99</v>
      </c>
      <c r="F220" s="1" t="s">
        <v>100</v>
      </c>
      <c r="I220" s="111" t="s">
        <v>709</v>
      </c>
      <c r="J220" s="1" t="s">
        <v>471</v>
      </c>
      <c r="K220" s="1" t="s">
        <v>269</v>
      </c>
      <c r="L220" s="1" t="s">
        <v>703</v>
      </c>
      <c r="M220" s="1" t="s">
        <v>472</v>
      </c>
      <c r="O220" s="1" t="s">
        <v>297</v>
      </c>
    </row>
    <row r="221" spans="1:15" ht="132">
      <c r="A221" s="1">
        <v>38017</v>
      </c>
      <c r="B221" s="1" t="s">
        <v>236</v>
      </c>
      <c r="D221" s="1" t="s">
        <v>710</v>
      </c>
      <c r="E221" s="1" t="s">
        <v>99</v>
      </c>
      <c r="F221" s="1" t="s">
        <v>100</v>
      </c>
      <c r="I221" s="111" t="s">
        <v>711</v>
      </c>
      <c r="J221" s="1" t="s">
        <v>471</v>
      </c>
      <c r="K221" s="1" t="s">
        <v>269</v>
      </c>
      <c r="L221" s="1" t="s">
        <v>703</v>
      </c>
      <c r="M221" s="1" t="s">
        <v>472</v>
      </c>
      <c r="N221" s="1" t="s">
        <v>271</v>
      </c>
      <c r="O221" s="1" t="s">
        <v>297</v>
      </c>
    </row>
    <row r="222" spans="1:15" ht="145.19999999999999">
      <c r="A222" s="1">
        <v>38016</v>
      </c>
      <c r="B222" s="1" t="s">
        <v>236</v>
      </c>
      <c r="D222" s="1" t="s">
        <v>712</v>
      </c>
      <c r="E222" s="1" t="s">
        <v>99</v>
      </c>
      <c r="F222" s="1" t="s">
        <v>100</v>
      </c>
      <c r="I222" s="111" t="s">
        <v>713</v>
      </c>
      <c r="J222" s="1" t="s">
        <v>471</v>
      </c>
      <c r="K222" s="1" t="s">
        <v>269</v>
      </c>
      <c r="L222" s="1" t="s">
        <v>703</v>
      </c>
      <c r="M222" s="1" t="s">
        <v>472</v>
      </c>
      <c r="N222" s="1" t="s">
        <v>680</v>
      </c>
      <c r="O222" s="1" t="s">
        <v>317</v>
      </c>
    </row>
    <row r="223" spans="1:15" ht="132">
      <c r="A223" s="1">
        <v>38013</v>
      </c>
      <c r="B223" s="1" t="s">
        <v>236</v>
      </c>
      <c r="D223" s="1" t="s">
        <v>714</v>
      </c>
      <c r="E223" s="1" t="s">
        <v>99</v>
      </c>
      <c r="F223" s="1" t="s">
        <v>100</v>
      </c>
      <c r="I223" s="111" t="s">
        <v>715</v>
      </c>
      <c r="J223" s="1" t="s">
        <v>471</v>
      </c>
      <c r="K223" s="1" t="s">
        <v>269</v>
      </c>
      <c r="L223" s="1" t="s">
        <v>703</v>
      </c>
      <c r="M223" s="1" t="s">
        <v>472</v>
      </c>
      <c r="N223" s="1" t="s">
        <v>680</v>
      </c>
      <c r="O223" s="1" t="s">
        <v>297</v>
      </c>
    </row>
    <row r="224" spans="1:15" ht="118.8">
      <c r="A224" s="1">
        <v>38011</v>
      </c>
      <c r="B224" s="1" t="s">
        <v>259</v>
      </c>
      <c r="D224" s="1" t="s">
        <v>716</v>
      </c>
      <c r="E224" s="1" t="s">
        <v>99</v>
      </c>
      <c r="F224" s="1" t="s">
        <v>100</v>
      </c>
      <c r="I224" s="111" t="s">
        <v>717</v>
      </c>
      <c r="J224" s="1" t="s">
        <v>471</v>
      </c>
      <c r="K224" s="1" t="s">
        <v>269</v>
      </c>
      <c r="L224" s="1" t="s">
        <v>378</v>
      </c>
      <c r="M224" s="1" t="s">
        <v>472</v>
      </c>
      <c r="O224" s="1" t="s">
        <v>297</v>
      </c>
    </row>
    <row r="225" spans="1:15" ht="145.19999999999999">
      <c r="A225" s="1">
        <v>37966</v>
      </c>
      <c r="B225" s="1" t="s">
        <v>259</v>
      </c>
      <c r="D225" s="1" t="s">
        <v>718</v>
      </c>
      <c r="E225" s="1" t="s">
        <v>99</v>
      </c>
      <c r="F225" s="1" t="s">
        <v>445</v>
      </c>
      <c r="I225" s="111" t="s">
        <v>719</v>
      </c>
      <c r="J225" s="1" t="s">
        <v>471</v>
      </c>
      <c r="K225" s="1" t="s">
        <v>269</v>
      </c>
      <c r="L225" s="1" t="s">
        <v>378</v>
      </c>
      <c r="M225" s="1" t="s">
        <v>472</v>
      </c>
      <c r="O225" s="1" t="s">
        <v>297</v>
      </c>
    </row>
    <row r="226" spans="1:15" ht="132">
      <c r="A226" s="1">
        <v>37965</v>
      </c>
      <c r="B226" s="1" t="s">
        <v>236</v>
      </c>
      <c r="D226" s="1" t="s">
        <v>720</v>
      </c>
      <c r="E226" s="1" t="s">
        <v>99</v>
      </c>
      <c r="F226" s="1" t="s">
        <v>445</v>
      </c>
      <c r="I226" s="111" t="s">
        <v>721</v>
      </c>
      <c r="J226" s="1" t="s">
        <v>471</v>
      </c>
      <c r="K226" s="1" t="s">
        <v>269</v>
      </c>
      <c r="L226" s="1" t="s">
        <v>722</v>
      </c>
      <c r="M226" s="1" t="s">
        <v>472</v>
      </c>
      <c r="O226" s="1" t="s">
        <v>297</v>
      </c>
    </row>
    <row r="227" spans="1:15" ht="145.19999999999999">
      <c r="A227" s="1">
        <v>37964</v>
      </c>
      <c r="B227" s="1" t="s">
        <v>236</v>
      </c>
      <c r="D227" s="1" t="s">
        <v>723</v>
      </c>
      <c r="E227" s="1" t="s">
        <v>99</v>
      </c>
      <c r="F227" s="1" t="s">
        <v>100</v>
      </c>
      <c r="I227" s="111" t="s">
        <v>724</v>
      </c>
      <c r="J227" s="1" t="s">
        <v>471</v>
      </c>
      <c r="K227" s="1" t="s">
        <v>269</v>
      </c>
      <c r="L227" s="1" t="s">
        <v>722</v>
      </c>
      <c r="M227" s="1" t="s">
        <v>472</v>
      </c>
      <c r="O227" s="1" t="s">
        <v>297</v>
      </c>
    </row>
    <row r="228" spans="1:15" ht="79.2">
      <c r="A228" s="1">
        <v>37963</v>
      </c>
      <c r="B228" s="1" t="s">
        <v>259</v>
      </c>
      <c r="D228" s="1" t="s">
        <v>725</v>
      </c>
      <c r="E228" s="1" t="s">
        <v>99</v>
      </c>
      <c r="F228" s="1" t="s">
        <v>100</v>
      </c>
      <c r="I228" s="111" t="s">
        <v>726</v>
      </c>
      <c r="J228" s="1" t="s">
        <v>471</v>
      </c>
      <c r="K228" s="1" t="s">
        <v>269</v>
      </c>
      <c r="L228" s="1" t="s">
        <v>378</v>
      </c>
      <c r="M228" s="1" t="s">
        <v>472</v>
      </c>
      <c r="O228" s="1" t="s">
        <v>297</v>
      </c>
    </row>
    <row r="229" spans="1:15" ht="290.39999999999998">
      <c r="A229" s="1">
        <v>37960</v>
      </c>
      <c r="B229" s="1" t="s">
        <v>236</v>
      </c>
      <c r="D229" s="1" t="s">
        <v>727</v>
      </c>
      <c r="E229" s="1" t="s">
        <v>99</v>
      </c>
      <c r="F229" s="1" t="s">
        <v>100</v>
      </c>
      <c r="I229" s="111" t="s">
        <v>728</v>
      </c>
      <c r="J229" s="1" t="s">
        <v>471</v>
      </c>
      <c r="K229" s="1" t="s">
        <v>269</v>
      </c>
      <c r="L229" s="1" t="s">
        <v>703</v>
      </c>
      <c r="M229" s="1" t="s">
        <v>472</v>
      </c>
      <c r="N229" s="1" t="s">
        <v>729</v>
      </c>
      <c r="O229" s="1" t="s">
        <v>297</v>
      </c>
    </row>
    <row r="230" spans="1:15" ht="171.6">
      <c r="A230" s="1">
        <v>37952</v>
      </c>
      <c r="B230" s="1" t="s">
        <v>236</v>
      </c>
      <c r="D230" s="1" t="s">
        <v>730</v>
      </c>
      <c r="E230" s="1" t="s">
        <v>99</v>
      </c>
      <c r="F230" s="1" t="s">
        <v>100</v>
      </c>
      <c r="I230" s="111" t="s">
        <v>731</v>
      </c>
      <c r="J230" s="1" t="s">
        <v>471</v>
      </c>
      <c r="K230" s="1" t="s">
        <v>269</v>
      </c>
      <c r="L230" s="1" t="s">
        <v>703</v>
      </c>
      <c r="M230" s="1" t="s">
        <v>472</v>
      </c>
      <c r="N230" s="1" t="s">
        <v>732</v>
      </c>
      <c r="O230" s="1" t="s">
        <v>317</v>
      </c>
    </row>
    <row r="231" spans="1:15" ht="145.19999999999999">
      <c r="A231" s="1">
        <v>37951</v>
      </c>
      <c r="B231" s="1" t="s">
        <v>236</v>
      </c>
      <c r="D231" s="1" t="s">
        <v>733</v>
      </c>
      <c r="E231" s="1" t="s">
        <v>99</v>
      </c>
      <c r="F231" s="1" t="s">
        <v>100</v>
      </c>
      <c r="I231" s="111" t="s">
        <v>734</v>
      </c>
      <c r="J231" s="1" t="s">
        <v>471</v>
      </c>
      <c r="K231" s="1" t="s">
        <v>269</v>
      </c>
      <c r="L231" s="1" t="s">
        <v>703</v>
      </c>
      <c r="M231" s="1" t="s">
        <v>472</v>
      </c>
      <c r="N231" s="1" t="s">
        <v>735</v>
      </c>
      <c r="O231" s="1" t="s">
        <v>297</v>
      </c>
    </row>
    <row r="232" spans="1:15" ht="171.6">
      <c r="A232" s="1">
        <v>37949</v>
      </c>
      <c r="B232" s="1" t="s">
        <v>306</v>
      </c>
      <c r="D232" s="1" t="s">
        <v>736</v>
      </c>
      <c r="E232" s="1" t="s">
        <v>99</v>
      </c>
      <c r="F232" s="1" t="s">
        <v>100</v>
      </c>
      <c r="I232" s="111" t="s">
        <v>737</v>
      </c>
      <c r="J232" s="1" t="s">
        <v>471</v>
      </c>
      <c r="K232" s="1" t="s">
        <v>269</v>
      </c>
      <c r="L232" s="1" t="s">
        <v>703</v>
      </c>
      <c r="M232" s="1" t="s">
        <v>472</v>
      </c>
      <c r="N232" s="1" t="s">
        <v>738</v>
      </c>
      <c r="O232" s="1" t="s">
        <v>297</v>
      </c>
    </row>
    <row r="233" spans="1:15" ht="132">
      <c r="A233" s="1">
        <v>37745</v>
      </c>
      <c r="B233" s="1" t="s">
        <v>236</v>
      </c>
      <c r="D233" s="1" t="s">
        <v>739</v>
      </c>
      <c r="E233" s="1" t="s">
        <v>99</v>
      </c>
      <c r="F233" s="1" t="s">
        <v>100</v>
      </c>
      <c r="I233" s="111" t="s">
        <v>740</v>
      </c>
      <c r="J233" s="1" t="s">
        <v>471</v>
      </c>
      <c r="K233" s="1" t="s">
        <v>269</v>
      </c>
      <c r="L233" s="1" t="s">
        <v>270</v>
      </c>
      <c r="M233" s="1" t="s">
        <v>472</v>
      </c>
      <c r="O233" s="1" t="s">
        <v>297</v>
      </c>
    </row>
    <row r="234" spans="1:15" ht="92.4">
      <c r="A234" s="1">
        <v>37661</v>
      </c>
      <c r="B234" s="1" t="s">
        <v>236</v>
      </c>
      <c r="D234" s="1" t="s">
        <v>741</v>
      </c>
      <c r="E234" s="1" t="s">
        <v>99</v>
      </c>
      <c r="F234" s="1" t="s">
        <v>100</v>
      </c>
      <c r="I234" s="111" t="s">
        <v>742</v>
      </c>
      <c r="J234" s="1" t="s">
        <v>471</v>
      </c>
      <c r="K234" s="1" t="s">
        <v>269</v>
      </c>
      <c r="L234" s="1" t="s">
        <v>270</v>
      </c>
      <c r="M234" s="1" t="s">
        <v>472</v>
      </c>
      <c r="N234" s="1" t="s">
        <v>680</v>
      </c>
      <c r="O234" s="1" t="s">
        <v>297</v>
      </c>
    </row>
    <row r="235" spans="1:15" ht="79.2">
      <c r="A235" s="1">
        <v>37656</v>
      </c>
      <c r="B235" s="1" t="s">
        <v>634</v>
      </c>
      <c r="D235" s="1" t="s">
        <v>743</v>
      </c>
      <c r="E235" s="1" t="s">
        <v>95</v>
      </c>
      <c r="F235" s="1" t="s">
        <v>100</v>
      </c>
      <c r="I235" s="111" t="s">
        <v>744</v>
      </c>
      <c r="J235" s="1" t="s">
        <v>471</v>
      </c>
      <c r="K235" s="1" t="s">
        <v>269</v>
      </c>
      <c r="L235" s="1" t="s">
        <v>745</v>
      </c>
      <c r="M235" s="1" t="s">
        <v>472</v>
      </c>
      <c r="N235" s="1" t="s">
        <v>746</v>
      </c>
      <c r="O235" s="1" t="s">
        <v>317</v>
      </c>
    </row>
    <row r="236" spans="1:15" ht="171.6">
      <c r="A236" s="1">
        <v>37650</v>
      </c>
      <c r="B236" s="1" t="s">
        <v>747</v>
      </c>
      <c r="D236" s="1" t="s">
        <v>748</v>
      </c>
      <c r="E236" s="1" t="s">
        <v>95</v>
      </c>
      <c r="F236" s="1" t="s">
        <v>445</v>
      </c>
      <c r="I236" s="111" t="s">
        <v>749</v>
      </c>
      <c r="J236" s="1" t="s">
        <v>471</v>
      </c>
      <c r="K236" s="1" t="s">
        <v>269</v>
      </c>
      <c r="L236" s="1" t="s">
        <v>745</v>
      </c>
      <c r="M236" s="1" t="s">
        <v>472</v>
      </c>
      <c r="N236" s="1" t="s">
        <v>750</v>
      </c>
      <c r="O236" s="1" t="s">
        <v>297</v>
      </c>
    </row>
    <row r="237" spans="1:15" ht="132">
      <c r="A237" s="1">
        <v>37649</v>
      </c>
      <c r="B237" s="1" t="s">
        <v>751</v>
      </c>
      <c r="D237" s="1" t="s">
        <v>752</v>
      </c>
      <c r="E237" s="1" t="s">
        <v>99</v>
      </c>
      <c r="F237" s="1" t="s">
        <v>100</v>
      </c>
      <c r="I237" s="111" t="s">
        <v>753</v>
      </c>
      <c r="J237" s="1" t="s">
        <v>471</v>
      </c>
      <c r="K237" s="1" t="s">
        <v>269</v>
      </c>
      <c r="L237" s="1" t="s">
        <v>745</v>
      </c>
      <c r="M237" s="1" t="s">
        <v>472</v>
      </c>
      <c r="N237" s="1" t="s">
        <v>754</v>
      </c>
      <c r="O237" s="1" t="s">
        <v>297</v>
      </c>
    </row>
    <row r="238" spans="1:15" ht="158.4">
      <c r="A238" s="1">
        <v>37648</v>
      </c>
      <c r="B238" s="1" t="s">
        <v>755</v>
      </c>
      <c r="D238" s="1" t="s">
        <v>756</v>
      </c>
      <c r="E238" s="1" t="s">
        <v>102</v>
      </c>
      <c r="F238" s="1" t="s">
        <v>100</v>
      </c>
      <c r="I238" s="111" t="s">
        <v>757</v>
      </c>
      <c r="J238" s="1" t="s">
        <v>471</v>
      </c>
      <c r="K238" s="1" t="s">
        <v>269</v>
      </c>
      <c r="L238" s="1" t="s">
        <v>745</v>
      </c>
      <c r="M238" s="1" t="s">
        <v>472</v>
      </c>
      <c r="N238" s="1" t="s">
        <v>758</v>
      </c>
      <c r="O238" s="1" t="s">
        <v>329</v>
      </c>
    </row>
    <row r="239" spans="1:15" ht="118.8">
      <c r="A239" s="1">
        <v>37647</v>
      </c>
      <c r="B239" s="1" t="s">
        <v>759</v>
      </c>
      <c r="D239" s="1" t="s">
        <v>760</v>
      </c>
      <c r="E239" s="1" t="s">
        <v>99</v>
      </c>
      <c r="F239" s="1" t="s">
        <v>100</v>
      </c>
      <c r="I239" s="111" t="s">
        <v>761</v>
      </c>
      <c r="J239" s="1" t="s">
        <v>471</v>
      </c>
      <c r="K239" s="1" t="s">
        <v>269</v>
      </c>
      <c r="L239" s="1" t="s">
        <v>745</v>
      </c>
      <c r="M239" s="1" t="s">
        <v>472</v>
      </c>
      <c r="N239" s="1" t="s">
        <v>762</v>
      </c>
      <c r="O239" s="1" t="s">
        <v>297</v>
      </c>
    </row>
    <row r="240" spans="1:15" ht="250.8">
      <c r="A240" s="1">
        <v>37646</v>
      </c>
      <c r="B240" s="1" t="s">
        <v>382</v>
      </c>
      <c r="D240" s="1" t="s">
        <v>763</v>
      </c>
      <c r="E240" s="1" t="s">
        <v>95</v>
      </c>
      <c r="F240" s="1" t="s">
        <v>445</v>
      </c>
      <c r="I240" s="111" t="s">
        <v>764</v>
      </c>
      <c r="J240" s="1" t="s">
        <v>471</v>
      </c>
      <c r="K240" s="1" t="s">
        <v>385</v>
      </c>
      <c r="L240" s="1" t="s">
        <v>386</v>
      </c>
      <c r="M240" s="1" t="s">
        <v>472</v>
      </c>
      <c r="N240" s="1" t="s">
        <v>765</v>
      </c>
      <c r="O240" s="1" t="s">
        <v>338</v>
      </c>
    </row>
    <row r="241" spans="1:15" ht="92.4">
      <c r="A241" s="1">
        <v>37618</v>
      </c>
      <c r="B241" s="1" t="s">
        <v>236</v>
      </c>
      <c r="D241" s="1" t="s">
        <v>766</v>
      </c>
      <c r="E241" s="1" t="s">
        <v>99</v>
      </c>
      <c r="F241" s="1" t="s">
        <v>100</v>
      </c>
      <c r="I241" s="111" t="s">
        <v>767</v>
      </c>
      <c r="J241" s="1" t="s">
        <v>471</v>
      </c>
      <c r="K241" s="1" t="s">
        <v>269</v>
      </c>
      <c r="L241" s="1" t="s">
        <v>270</v>
      </c>
      <c r="M241" s="1" t="s">
        <v>472</v>
      </c>
      <c r="O241" s="1" t="s">
        <v>297</v>
      </c>
    </row>
    <row r="242" spans="1:15" ht="145.19999999999999">
      <c r="A242" s="1">
        <v>37617</v>
      </c>
      <c r="B242" s="1" t="s">
        <v>236</v>
      </c>
      <c r="D242" s="1" t="s">
        <v>768</v>
      </c>
      <c r="E242" s="1" t="s">
        <v>99</v>
      </c>
      <c r="F242" s="1" t="s">
        <v>100</v>
      </c>
      <c r="I242" s="111" t="s">
        <v>769</v>
      </c>
      <c r="J242" s="1" t="s">
        <v>471</v>
      </c>
      <c r="K242" s="1" t="s">
        <v>269</v>
      </c>
      <c r="L242" s="1" t="s">
        <v>270</v>
      </c>
      <c r="M242" s="1" t="s">
        <v>472</v>
      </c>
      <c r="O242" s="1" t="s">
        <v>297</v>
      </c>
    </row>
    <row r="243" spans="1:15" ht="145.19999999999999">
      <c r="A243" s="1">
        <v>37616</v>
      </c>
      <c r="B243" s="1" t="s">
        <v>236</v>
      </c>
      <c r="D243" s="1" t="s">
        <v>770</v>
      </c>
      <c r="E243" s="1" t="s">
        <v>99</v>
      </c>
      <c r="F243" s="1" t="s">
        <v>100</v>
      </c>
      <c r="I243" s="111" t="s">
        <v>771</v>
      </c>
      <c r="J243" s="1" t="s">
        <v>471</v>
      </c>
      <c r="K243" s="1" t="s">
        <v>269</v>
      </c>
      <c r="L243" s="1" t="s">
        <v>270</v>
      </c>
      <c r="M243" s="1" t="s">
        <v>472</v>
      </c>
      <c r="O243" s="1" t="s">
        <v>297</v>
      </c>
    </row>
    <row r="244" spans="1:15" ht="145.19999999999999">
      <c r="A244" s="1">
        <v>37615</v>
      </c>
      <c r="B244" s="1" t="s">
        <v>236</v>
      </c>
      <c r="D244" s="1" t="s">
        <v>772</v>
      </c>
      <c r="E244" s="1" t="s">
        <v>99</v>
      </c>
      <c r="F244" s="1" t="s">
        <v>101</v>
      </c>
      <c r="I244" s="111" t="s">
        <v>773</v>
      </c>
      <c r="J244" s="1" t="s">
        <v>471</v>
      </c>
      <c r="K244" s="1" t="s">
        <v>269</v>
      </c>
      <c r="L244" s="1" t="s">
        <v>270</v>
      </c>
      <c r="M244" s="1" t="s">
        <v>472</v>
      </c>
      <c r="O244" s="1" t="s">
        <v>338</v>
      </c>
    </row>
    <row r="245" spans="1:15" ht="118.8">
      <c r="A245" s="1">
        <v>37614</v>
      </c>
      <c r="B245" s="1" t="s">
        <v>236</v>
      </c>
      <c r="D245" s="1" t="s">
        <v>774</v>
      </c>
      <c r="E245" s="1" t="s">
        <v>99</v>
      </c>
      <c r="F245" s="1" t="s">
        <v>101</v>
      </c>
      <c r="I245" s="111" t="s">
        <v>775</v>
      </c>
      <c r="J245" s="1" t="s">
        <v>471</v>
      </c>
      <c r="K245" s="1" t="s">
        <v>269</v>
      </c>
      <c r="L245" s="111" t="s">
        <v>776</v>
      </c>
      <c r="M245" s="1" t="s">
        <v>472</v>
      </c>
      <c r="O245" s="1" t="s">
        <v>297</v>
      </c>
    </row>
    <row r="246" spans="1:15" ht="132">
      <c r="A246" s="1">
        <v>37612</v>
      </c>
      <c r="B246" s="1" t="s">
        <v>236</v>
      </c>
      <c r="D246" s="1" t="s">
        <v>777</v>
      </c>
      <c r="E246" s="1" t="s">
        <v>99</v>
      </c>
      <c r="F246" s="1" t="s">
        <v>101</v>
      </c>
      <c r="I246" s="111" t="s">
        <v>778</v>
      </c>
      <c r="J246" s="1" t="s">
        <v>471</v>
      </c>
      <c r="K246" s="1" t="s">
        <v>269</v>
      </c>
      <c r="L246" s="1" t="s">
        <v>270</v>
      </c>
      <c r="M246" s="1" t="s">
        <v>472</v>
      </c>
      <c r="O246" s="1" t="s">
        <v>338</v>
      </c>
    </row>
    <row r="247" spans="1:15" ht="66">
      <c r="A247" s="1">
        <v>37610</v>
      </c>
      <c r="B247" s="1" t="s">
        <v>236</v>
      </c>
      <c r="D247" s="1" t="s">
        <v>779</v>
      </c>
      <c r="E247" s="1" t="s">
        <v>95</v>
      </c>
      <c r="F247" s="1" t="s">
        <v>100</v>
      </c>
      <c r="I247" s="111" t="s">
        <v>780</v>
      </c>
      <c r="J247" s="1" t="s">
        <v>471</v>
      </c>
      <c r="K247" s="1" t="s">
        <v>269</v>
      </c>
      <c r="L247" s="1" t="s">
        <v>270</v>
      </c>
      <c r="M247" s="1" t="s">
        <v>472</v>
      </c>
      <c r="O247" s="1" t="s">
        <v>297</v>
      </c>
    </row>
    <row r="248" spans="1:15" ht="224.4">
      <c r="A248" s="1">
        <v>37597</v>
      </c>
      <c r="B248" s="1" t="s">
        <v>382</v>
      </c>
      <c r="D248" s="1" t="s">
        <v>781</v>
      </c>
      <c r="E248" s="1" t="s">
        <v>99</v>
      </c>
      <c r="F248" s="1" t="s">
        <v>101</v>
      </c>
      <c r="I248" s="111" t="s">
        <v>782</v>
      </c>
      <c r="J248" s="1" t="s">
        <v>471</v>
      </c>
      <c r="K248" s="1" t="s">
        <v>385</v>
      </c>
      <c r="L248" s="1" t="s">
        <v>386</v>
      </c>
      <c r="M248" s="1" t="s">
        <v>472</v>
      </c>
      <c r="O248" s="1" t="s">
        <v>297</v>
      </c>
    </row>
    <row r="249" spans="1:15" ht="132">
      <c r="A249" s="1">
        <v>37567</v>
      </c>
      <c r="B249" s="1" t="s">
        <v>236</v>
      </c>
      <c r="D249" s="1" t="s">
        <v>783</v>
      </c>
      <c r="E249" s="1" t="s">
        <v>102</v>
      </c>
      <c r="F249" s="1" t="s">
        <v>100</v>
      </c>
      <c r="I249" s="111" t="s">
        <v>784</v>
      </c>
      <c r="J249" s="1" t="s">
        <v>471</v>
      </c>
      <c r="K249" s="1" t="s">
        <v>269</v>
      </c>
      <c r="L249" s="1" t="s">
        <v>270</v>
      </c>
      <c r="M249" s="1" t="s">
        <v>472</v>
      </c>
      <c r="O249" s="1" t="s">
        <v>338</v>
      </c>
    </row>
    <row r="250" spans="1:15" ht="158.4">
      <c r="A250" s="1">
        <v>37563</v>
      </c>
      <c r="B250" s="1" t="s">
        <v>306</v>
      </c>
      <c r="D250" s="1" t="s">
        <v>785</v>
      </c>
      <c r="E250" s="1" t="s">
        <v>99</v>
      </c>
      <c r="F250" s="1" t="s">
        <v>100</v>
      </c>
      <c r="I250" s="111" t="s">
        <v>786</v>
      </c>
      <c r="J250" s="1" t="s">
        <v>471</v>
      </c>
      <c r="K250" s="1" t="s">
        <v>269</v>
      </c>
      <c r="L250" s="1" t="s">
        <v>270</v>
      </c>
      <c r="M250" s="1" t="s">
        <v>472</v>
      </c>
      <c r="N250" s="1" t="s">
        <v>738</v>
      </c>
      <c r="O250" s="1" t="s">
        <v>297</v>
      </c>
    </row>
    <row r="251" spans="1:15" ht="158.4">
      <c r="A251" s="1">
        <v>37554</v>
      </c>
      <c r="B251" s="1" t="s">
        <v>236</v>
      </c>
      <c r="D251" s="1" t="s">
        <v>787</v>
      </c>
      <c r="E251" s="1" t="s">
        <v>99</v>
      </c>
      <c r="F251" s="1" t="s">
        <v>100</v>
      </c>
      <c r="I251" s="111" t="s">
        <v>788</v>
      </c>
      <c r="J251" s="1" t="s">
        <v>471</v>
      </c>
      <c r="K251" s="1" t="s">
        <v>269</v>
      </c>
      <c r="L251" s="1" t="s">
        <v>270</v>
      </c>
      <c r="M251" s="1" t="s">
        <v>472</v>
      </c>
      <c r="O251" s="1" t="s">
        <v>297</v>
      </c>
    </row>
    <row r="252" spans="1:15" ht="145.19999999999999">
      <c r="A252" s="1">
        <v>37539</v>
      </c>
      <c r="B252" s="1" t="s">
        <v>228</v>
      </c>
      <c r="D252" s="1" t="s">
        <v>789</v>
      </c>
      <c r="E252" s="1" t="s">
        <v>102</v>
      </c>
      <c r="F252" s="1" t="s">
        <v>100</v>
      </c>
      <c r="I252" s="111" t="s">
        <v>790</v>
      </c>
      <c r="J252" s="1" t="s">
        <v>471</v>
      </c>
      <c r="K252" s="1" t="s">
        <v>269</v>
      </c>
      <c r="L252" s="1" t="s">
        <v>270</v>
      </c>
      <c r="M252" s="1" t="s">
        <v>472</v>
      </c>
      <c r="N252" s="1" t="s">
        <v>791</v>
      </c>
      <c r="O252" s="1" t="s">
        <v>297</v>
      </c>
    </row>
    <row r="253" spans="1:15" ht="92.4">
      <c r="A253" s="1">
        <v>37533</v>
      </c>
      <c r="B253" s="1" t="s">
        <v>236</v>
      </c>
      <c r="D253" s="1" t="s">
        <v>792</v>
      </c>
      <c r="E253" s="1" t="s">
        <v>95</v>
      </c>
      <c r="F253" s="1" t="s">
        <v>100</v>
      </c>
      <c r="I253" s="111" t="s">
        <v>793</v>
      </c>
      <c r="J253" s="1" t="s">
        <v>471</v>
      </c>
      <c r="K253" s="1" t="s">
        <v>269</v>
      </c>
      <c r="L253" s="1" t="s">
        <v>270</v>
      </c>
      <c r="M253" s="1" t="s">
        <v>472</v>
      </c>
      <c r="O253" s="1" t="s">
        <v>301</v>
      </c>
    </row>
    <row r="254" spans="1:15" ht="158.4">
      <c r="A254" s="1">
        <v>37532</v>
      </c>
      <c r="B254" s="1" t="s">
        <v>236</v>
      </c>
      <c r="D254" s="1" t="s">
        <v>794</v>
      </c>
      <c r="E254" s="1" t="s">
        <v>99</v>
      </c>
      <c r="F254" s="1" t="s">
        <v>100</v>
      </c>
      <c r="I254" s="111" t="s">
        <v>795</v>
      </c>
      <c r="J254" s="1" t="s">
        <v>471</v>
      </c>
      <c r="K254" s="1" t="s">
        <v>269</v>
      </c>
      <c r="L254" s="1" t="s">
        <v>270</v>
      </c>
      <c r="M254" s="1" t="s">
        <v>472</v>
      </c>
      <c r="O254" s="1" t="s">
        <v>317</v>
      </c>
    </row>
    <row r="255" spans="1:15" ht="118.8">
      <c r="A255" s="1">
        <v>37531</v>
      </c>
      <c r="B255" s="1" t="s">
        <v>236</v>
      </c>
      <c r="D255" s="1" t="s">
        <v>796</v>
      </c>
      <c r="E255" s="1" t="s">
        <v>99</v>
      </c>
      <c r="F255" s="1" t="s">
        <v>100</v>
      </c>
      <c r="I255" s="111" t="s">
        <v>797</v>
      </c>
      <c r="J255" s="1" t="s">
        <v>471</v>
      </c>
      <c r="K255" s="1" t="s">
        <v>269</v>
      </c>
      <c r="L255" s="1" t="s">
        <v>270</v>
      </c>
      <c r="M255" s="1" t="s">
        <v>472</v>
      </c>
      <c r="O255" s="1" t="s">
        <v>297</v>
      </c>
    </row>
    <row r="256" spans="1:15" ht="158.4">
      <c r="A256" s="1">
        <v>37530</v>
      </c>
      <c r="B256" s="1" t="s">
        <v>259</v>
      </c>
      <c r="D256" s="1" t="s">
        <v>798</v>
      </c>
      <c r="E256" s="1" t="s">
        <v>99</v>
      </c>
      <c r="F256" s="1" t="s">
        <v>100</v>
      </c>
      <c r="I256" s="111" t="s">
        <v>799</v>
      </c>
      <c r="J256" s="1" t="s">
        <v>471</v>
      </c>
      <c r="K256" s="1" t="s">
        <v>269</v>
      </c>
      <c r="L256" s="1" t="s">
        <v>745</v>
      </c>
      <c r="M256" s="1" t="s">
        <v>472</v>
      </c>
      <c r="O256" s="1" t="s">
        <v>317</v>
      </c>
    </row>
    <row r="257" spans="1:15" ht="118.8">
      <c r="A257" s="1">
        <v>37220</v>
      </c>
      <c r="B257" s="1" t="s">
        <v>747</v>
      </c>
      <c r="D257" s="1" t="s">
        <v>800</v>
      </c>
      <c r="E257" s="1" t="s">
        <v>95</v>
      </c>
      <c r="F257" s="1" t="s">
        <v>100</v>
      </c>
      <c r="I257" s="111" t="s">
        <v>801</v>
      </c>
      <c r="J257" s="1" t="s">
        <v>471</v>
      </c>
      <c r="K257" s="1" t="s">
        <v>269</v>
      </c>
      <c r="L257" s="1" t="s">
        <v>287</v>
      </c>
      <c r="M257" s="1" t="s">
        <v>472</v>
      </c>
      <c r="N257" s="1" t="s">
        <v>750</v>
      </c>
      <c r="O257" s="1" t="s">
        <v>329</v>
      </c>
    </row>
    <row r="258" spans="1:15" ht="158.4">
      <c r="A258" s="1">
        <v>37218</v>
      </c>
      <c r="B258" s="1" t="s">
        <v>236</v>
      </c>
      <c r="D258" s="1" t="s">
        <v>802</v>
      </c>
      <c r="E258" s="1" t="s">
        <v>99</v>
      </c>
      <c r="F258" s="1" t="s">
        <v>445</v>
      </c>
      <c r="I258" s="111" t="s">
        <v>803</v>
      </c>
      <c r="J258" s="1" t="s">
        <v>471</v>
      </c>
      <c r="K258" s="1" t="s">
        <v>269</v>
      </c>
      <c r="L258" s="1" t="s">
        <v>270</v>
      </c>
      <c r="M258" s="1" t="s">
        <v>472</v>
      </c>
      <c r="O258" s="1" t="s">
        <v>297</v>
      </c>
    </row>
    <row r="259" spans="1:15" ht="92.4">
      <c r="A259" s="1">
        <v>37213</v>
      </c>
      <c r="B259" s="1" t="s">
        <v>277</v>
      </c>
      <c r="D259" s="1" t="s">
        <v>804</v>
      </c>
      <c r="E259" s="1" t="s">
        <v>99</v>
      </c>
      <c r="F259" s="1" t="s">
        <v>100</v>
      </c>
      <c r="I259" s="111" t="s">
        <v>805</v>
      </c>
      <c r="J259" s="1" t="s">
        <v>471</v>
      </c>
      <c r="K259" s="1" t="s">
        <v>269</v>
      </c>
      <c r="L259" s="1" t="s">
        <v>287</v>
      </c>
      <c r="M259" s="1" t="s">
        <v>472</v>
      </c>
      <c r="N259" s="1" t="s">
        <v>806</v>
      </c>
      <c r="O259" s="1" t="s">
        <v>807</v>
      </c>
    </row>
    <row r="260" spans="1:15" ht="118.8">
      <c r="A260" s="1">
        <v>37193</v>
      </c>
      <c r="B260" s="1" t="s">
        <v>751</v>
      </c>
      <c r="D260" s="1" t="s">
        <v>808</v>
      </c>
      <c r="E260" s="1" t="s">
        <v>99</v>
      </c>
      <c r="F260" s="1" t="s">
        <v>105</v>
      </c>
      <c r="I260" s="111" t="s">
        <v>809</v>
      </c>
      <c r="J260" s="1" t="s">
        <v>471</v>
      </c>
      <c r="K260" s="1" t="s">
        <v>269</v>
      </c>
      <c r="L260" s="1" t="s">
        <v>287</v>
      </c>
      <c r="M260" s="1" t="s">
        <v>472</v>
      </c>
      <c r="N260" s="1" t="s">
        <v>754</v>
      </c>
      <c r="O260" s="1" t="s">
        <v>297</v>
      </c>
    </row>
    <row r="261" spans="1:15" ht="79.2">
      <c r="A261" s="1">
        <v>37192</v>
      </c>
      <c r="B261" s="1" t="s">
        <v>810</v>
      </c>
      <c r="D261" s="1" t="s">
        <v>811</v>
      </c>
      <c r="E261" s="1" t="s">
        <v>99</v>
      </c>
      <c r="F261" s="1" t="s">
        <v>812</v>
      </c>
      <c r="I261" s="111" t="s">
        <v>813</v>
      </c>
      <c r="J261" s="1" t="s">
        <v>471</v>
      </c>
      <c r="K261" s="1" t="s">
        <v>269</v>
      </c>
      <c r="L261" s="1" t="s">
        <v>287</v>
      </c>
      <c r="M261" s="1" t="s">
        <v>472</v>
      </c>
      <c r="N261" s="1" t="s">
        <v>814</v>
      </c>
      <c r="O261" s="1" t="s">
        <v>297</v>
      </c>
    </row>
    <row r="262" spans="1:15" ht="145.19999999999999">
      <c r="A262" s="1">
        <v>37190</v>
      </c>
      <c r="B262" s="1" t="s">
        <v>236</v>
      </c>
      <c r="D262" s="1" t="s">
        <v>815</v>
      </c>
      <c r="E262" s="1" t="s">
        <v>99</v>
      </c>
      <c r="F262" s="1" t="s">
        <v>101</v>
      </c>
      <c r="I262" s="111" t="s">
        <v>816</v>
      </c>
      <c r="J262" s="1" t="s">
        <v>471</v>
      </c>
      <c r="K262" s="1" t="s">
        <v>269</v>
      </c>
      <c r="L262" s="1" t="s">
        <v>270</v>
      </c>
      <c r="M262" s="1" t="s">
        <v>472</v>
      </c>
      <c r="O262" s="1" t="s">
        <v>297</v>
      </c>
    </row>
    <row r="263" spans="1:15" ht="158.4">
      <c r="A263" s="1">
        <v>37168</v>
      </c>
      <c r="B263" s="1" t="s">
        <v>259</v>
      </c>
      <c r="D263" s="1" t="s">
        <v>817</v>
      </c>
      <c r="E263" s="1" t="s">
        <v>95</v>
      </c>
      <c r="F263" s="1" t="s">
        <v>445</v>
      </c>
      <c r="I263" s="111" t="s">
        <v>818</v>
      </c>
      <c r="J263" s="1" t="s">
        <v>471</v>
      </c>
      <c r="K263" s="1" t="s">
        <v>269</v>
      </c>
      <c r="L263" s="1" t="s">
        <v>287</v>
      </c>
      <c r="M263" s="1" t="s">
        <v>472</v>
      </c>
      <c r="O263" s="1" t="s">
        <v>297</v>
      </c>
    </row>
    <row r="264" spans="1:15" ht="145.19999999999999">
      <c r="A264" s="1">
        <v>37167</v>
      </c>
      <c r="B264" s="1" t="s">
        <v>259</v>
      </c>
      <c r="D264" s="1" t="s">
        <v>819</v>
      </c>
      <c r="E264" s="1" t="s">
        <v>99</v>
      </c>
      <c r="F264" s="1" t="s">
        <v>101</v>
      </c>
      <c r="I264" s="111" t="s">
        <v>820</v>
      </c>
      <c r="J264" s="1" t="s">
        <v>471</v>
      </c>
      <c r="K264" s="1" t="s">
        <v>269</v>
      </c>
      <c r="L264" s="1" t="s">
        <v>287</v>
      </c>
      <c r="M264" s="1" t="s">
        <v>472</v>
      </c>
      <c r="O264" s="1" t="s">
        <v>297</v>
      </c>
    </row>
    <row r="265" spans="1:15" ht="171.6">
      <c r="A265" s="1">
        <v>37166</v>
      </c>
      <c r="B265" s="1" t="s">
        <v>259</v>
      </c>
      <c r="D265" s="1" t="s">
        <v>821</v>
      </c>
      <c r="E265" s="1" t="s">
        <v>99</v>
      </c>
      <c r="F265" s="1" t="s">
        <v>101</v>
      </c>
      <c r="I265" s="111" t="s">
        <v>822</v>
      </c>
      <c r="J265" s="1" t="s">
        <v>471</v>
      </c>
      <c r="K265" s="1" t="s">
        <v>269</v>
      </c>
      <c r="L265" s="1" t="s">
        <v>287</v>
      </c>
      <c r="M265" s="1" t="s">
        <v>472</v>
      </c>
      <c r="O265" s="1" t="s">
        <v>297</v>
      </c>
    </row>
    <row r="266" spans="1:15" ht="132">
      <c r="A266" s="1">
        <v>37165</v>
      </c>
      <c r="B266" s="1" t="s">
        <v>236</v>
      </c>
      <c r="D266" s="1" t="s">
        <v>823</v>
      </c>
      <c r="E266" s="1" t="s">
        <v>102</v>
      </c>
      <c r="F266" s="1" t="s">
        <v>101</v>
      </c>
      <c r="I266" s="111" t="s">
        <v>824</v>
      </c>
      <c r="J266" s="1" t="s">
        <v>471</v>
      </c>
      <c r="K266" s="1" t="s">
        <v>269</v>
      </c>
      <c r="L266" s="1" t="s">
        <v>270</v>
      </c>
      <c r="M266" s="1" t="s">
        <v>472</v>
      </c>
      <c r="N266" s="1" t="s">
        <v>685</v>
      </c>
      <c r="O266" s="1" t="s">
        <v>297</v>
      </c>
    </row>
    <row r="267" spans="1:15" ht="145.19999999999999">
      <c r="A267" s="1">
        <v>37164</v>
      </c>
      <c r="B267" s="1" t="s">
        <v>259</v>
      </c>
      <c r="D267" s="1" t="s">
        <v>825</v>
      </c>
      <c r="E267" s="1" t="s">
        <v>99</v>
      </c>
      <c r="F267" s="1" t="s">
        <v>101</v>
      </c>
      <c r="I267" s="111" t="s">
        <v>826</v>
      </c>
      <c r="J267" s="1" t="s">
        <v>471</v>
      </c>
      <c r="K267" s="1" t="s">
        <v>269</v>
      </c>
      <c r="L267" s="1" t="s">
        <v>287</v>
      </c>
      <c r="M267" s="1" t="s">
        <v>472</v>
      </c>
      <c r="N267" s="1" t="s">
        <v>827</v>
      </c>
      <c r="O267" s="1" t="s">
        <v>317</v>
      </c>
    </row>
    <row r="268" spans="1:15" ht="171.6">
      <c r="A268" s="1">
        <v>37162</v>
      </c>
      <c r="B268" s="1" t="s">
        <v>259</v>
      </c>
      <c r="D268" s="1" t="s">
        <v>828</v>
      </c>
      <c r="E268" s="1" t="s">
        <v>99</v>
      </c>
      <c r="F268" s="1" t="s">
        <v>101</v>
      </c>
      <c r="I268" s="111" t="s">
        <v>829</v>
      </c>
      <c r="J268" s="1" t="s">
        <v>471</v>
      </c>
      <c r="K268" s="1" t="s">
        <v>269</v>
      </c>
      <c r="L268" s="1" t="s">
        <v>287</v>
      </c>
      <c r="M268" s="1" t="s">
        <v>472</v>
      </c>
      <c r="N268" s="1" t="s">
        <v>830</v>
      </c>
      <c r="O268" s="1" t="s">
        <v>297</v>
      </c>
    </row>
    <row r="269" spans="1:15" ht="118.8">
      <c r="A269" s="1">
        <v>37161</v>
      </c>
      <c r="B269" s="1" t="s">
        <v>259</v>
      </c>
      <c r="D269" s="1" t="s">
        <v>831</v>
      </c>
      <c r="E269" s="1" t="s">
        <v>99</v>
      </c>
      <c r="F269" s="1" t="s">
        <v>101</v>
      </c>
      <c r="I269" s="111" t="s">
        <v>832</v>
      </c>
      <c r="J269" s="1" t="s">
        <v>471</v>
      </c>
      <c r="K269" s="1" t="s">
        <v>269</v>
      </c>
      <c r="L269" s="1" t="s">
        <v>287</v>
      </c>
      <c r="M269" s="1" t="s">
        <v>472</v>
      </c>
      <c r="N269" s="1" t="s">
        <v>830</v>
      </c>
      <c r="O269" s="1" t="s">
        <v>692</v>
      </c>
    </row>
    <row r="270" spans="1:15" ht="132">
      <c r="A270" s="1">
        <v>37158</v>
      </c>
      <c r="B270" s="1" t="s">
        <v>259</v>
      </c>
      <c r="D270" s="1" t="s">
        <v>833</v>
      </c>
      <c r="E270" s="1" t="s">
        <v>99</v>
      </c>
      <c r="F270" s="1" t="s">
        <v>100</v>
      </c>
      <c r="I270" s="111" t="s">
        <v>834</v>
      </c>
      <c r="J270" s="1" t="s">
        <v>471</v>
      </c>
      <c r="K270" s="1" t="s">
        <v>269</v>
      </c>
      <c r="L270" s="1" t="s">
        <v>287</v>
      </c>
      <c r="M270" s="1" t="s">
        <v>472</v>
      </c>
      <c r="O270" s="1" t="s">
        <v>297</v>
      </c>
    </row>
    <row r="271" spans="1:15" ht="132">
      <c r="A271" s="1">
        <v>37157</v>
      </c>
      <c r="B271" s="1" t="s">
        <v>259</v>
      </c>
      <c r="D271" s="1" t="s">
        <v>835</v>
      </c>
      <c r="E271" s="1" t="s">
        <v>99</v>
      </c>
      <c r="F271" s="1" t="s">
        <v>100</v>
      </c>
      <c r="I271" s="111" t="s">
        <v>836</v>
      </c>
      <c r="J271" s="1" t="s">
        <v>471</v>
      </c>
      <c r="K271" s="1" t="s">
        <v>269</v>
      </c>
      <c r="L271" s="1" t="s">
        <v>287</v>
      </c>
      <c r="M271" s="1" t="s">
        <v>472</v>
      </c>
      <c r="O271" s="1" t="s">
        <v>297</v>
      </c>
    </row>
    <row r="272" spans="1:15" ht="158.4">
      <c r="A272" s="1">
        <v>37156</v>
      </c>
      <c r="B272" s="1" t="s">
        <v>259</v>
      </c>
      <c r="D272" s="1" t="s">
        <v>837</v>
      </c>
      <c r="E272" s="1" t="s">
        <v>99</v>
      </c>
      <c r="F272" s="1" t="s">
        <v>100</v>
      </c>
      <c r="I272" s="111" t="s">
        <v>838</v>
      </c>
      <c r="J272" s="1" t="s">
        <v>471</v>
      </c>
      <c r="K272" s="1" t="s">
        <v>269</v>
      </c>
      <c r="L272" s="1" t="s">
        <v>287</v>
      </c>
      <c r="M272" s="1" t="s">
        <v>472</v>
      </c>
      <c r="O272" s="1" t="s">
        <v>317</v>
      </c>
    </row>
    <row r="273" spans="1:15" ht="158.4">
      <c r="A273" s="1">
        <v>37155</v>
      </c>
      <c r="B273" s="1" t="s">
        <v>259</v>
      </c>
      <c r="D273" s="1" t="s">
        <v>839</v>
      </c>
      <c r="E273" s="1" t="s">
        <v>95</v>
      </c>
      <c r="F273" s="1" t="s">
        <v>445</v>
      </c>
      <c r="I273" s="111" t="s">
        <v>840</v>
      </c>
      <c r="J273" s="1" t="s">
        <v>471</v>
      </c>
      <c r="K273" s="1" t="s">
        <v>269</v>
      </c>
      <c r="L273" s="1" t="s">
        <v>287</v>
      </c>
      <c r="M273" s="1" t="s">
        <v>472</v>
      </c>
      <c r="N273" s="1" t="s">
        <v>841</v>
      </c>
      <c r="O273" s="1" t="s">
        <v>297</v>
      </c>
    </row>
    <row r="274" spans="1:15" ht="132">
      <c r="A274" s="1">
        <v>37147</v>
      </c>
      <c r="B274" s="1" t="s">
        <v>259</v>
      </c>
      <c r="D274" s="1" t="s">
        <v>842</v>
      </c>
      <c r="E274" s="1" t="s">
        <v>99</v>
      </c>
      <c r="F274" s="1" t="s">
        <v>101</v>
      </c>
      <c r="I274" s="111" t="s">
        <v>843</v>
      </c>
      <c r="J274" s="1" t="s">
        <v>471</v>
      </c>
      <c r="K274" s="1" t="s">
        <v>269</v>
      </c>
      <c r="L274" s="1" t="s">
        <v>287</v>
      </c>
      <c r="M274" s="1" t="s">
        <v>472</v>
      </c>
      <c r="O274" s="1" t="s">
        <v>317</v>
      </c>
    </row>
    <row r="275" spans="1:15" ht="198">
      <c r="A275" s="1">
        <v>37146</v>
      </c>
      <c r="B275" s="1" t="s">
        <v>259</v>
      </c>
      <c r="D275" s="1" t="s">
        <v>844</v>
      </c>
      <c r="E275" s="1" t="s">
        <v>99</v>
      </c>
      <c r="F275" s="1" t="s">
        <v>100</v>
      </c>
      <c r="I275" s="111" t="s">
        <v>845</v>
      </c>
      <c r="J275" s="1" t="s">
        <v>471</v>
      </c>
      <c r="K275" s="1" t="s">
        <v>269</v>
      </c>
      <c r="L275" s="1" t="s">
        <v>287</v>
      </c>
      <c r="M275" s="1" t="s">
        <v>472</v>
      </c>
      <c r="N275" s="1" t="s">
        <v>846</v>
      </c>
      <c r="O275" s="1" t="s">
        <v>297</v>
      </c>
    </row>
    <row r="276" spans="1:15" ht="132">
      <c r="A276" s="1">
        <v>37145</v>
      </c>
      <c r="B276" s="1" t="s">
        <v>259</v>
      </c>
      <c r="D276" s="1" t="s">
        <v>847</v>
      </c>
      <c r="E276" s="1" t="s">
        <v>99</v>
      </c>
      <c r="F276" s="1" t="s">
        <v>100</v>
      </c>
      <c r="I276" s="111" t="s">
        <v>848</v>
      </c>
      <c r="J276" s="1" t="s">
        <v>471</v>
      </c>
      <c r="K276" s="1" t="s">
        <v>269</v>
      </c>
      <c r="L276" s="1" t="s">
        <v>287</v>
      </c>
      <c r="M276" s="1" t="s">
        <v>472</v>
      </c>
      <c r="O276" s="1" t="s">
        <v>297</v>
      </c>
    </row>
    <row r="277" spans="1:15" ht="145.19999999999999">
      <c r="A277" s="1">
        <v>37144</v>
      </c>
      <c r="B277" s="1" t="s">
        <v>236</v>
      </c>
      <c r="D277" s="1" t="s">
        <v>849</v>
      </c>
      <c r="E277" s="1" t="s">
        <v>99</v>
      </c>
      <c r="F277" s="1" t="s">
        <v>100</v>
      </c>
      <c r="I277" s="111" t="s">
        <v>850</v>
      </c>
      <c r="J277" s="1" t="s">
        <v>471</v>
      </c>
      <c r="K277" s="1" t="s">
        <v>269</v>
      </c>
      <c r="L277" s="1" t="s">
        <v>270</v>
      </c>
      <c r="M277" s="1" t="s">
        <v>472</v>
      </c>
      <c r="N277" s="1" t="s">
        <v>851</v>
      </c>
      <c r="O277" s="1" t="s">
        <v>297</v>
      </c>
    </row>
    <row r="278" spans="1:15" ht="92.4">
      <c r="A278" s="1">
        <v>37140</v>
      </c>
      <c r="B278" s="1" t="s">
        <v>259</v>
      </c>
      <c r="D278" s="1" t="s">
        <v>852</v>
      </c>
      <c r="E278" s="1" t="s">
        <v>95</v>
      </c>
      <c r="F278" s="1" t="s">
        <v>100</v>
      </c>
      <c r="I278" s="111" t="s">
        <v>853</v>
      </c>
      <c r="J278" s="1" t="s">
        <v>471</v>
      </c>
      <c r="K278" s="1" t="s">
        <v>269</v>
      </c>
      <c r="L278" s="1" t="s">
        <v>287</v>
      </c>
      <c r="M278" s="1" t="s">
        <v>472</v>
      </c>
      <c r="O278" s="1" t="s">
        <v>297</v>
      </c>
    </row>
    <row r="279" spans="1:15" ht="145.19999999999999">
      <c r="A279" s="1">
        <v>37138</v>
      </c>
      <c r="B279" s="1" t="s">
        <v>259</v>
      </c>
      <c r="D279" s="1" t="s">
        <v>854</v>
      </c>
      <c r="E279" s="1" t="s">
        <v>99</v>
      </c>
      <c r="F279" s="1" t="s">
        <v>100</v>
      </c>
      <c r="I279" s="111" t="s">
        <v>855</v>
      </c>
      <c r="J279" s="1" t="s">
        <v>471</v>
      </c>
      <c r="K279" s="1" t="s">
        <v>269</v>
      </c>
      <c r="L279" s="1" t="s">
        <v>287</v>
      </c>
      <c r="M279" s="1" t="s">
        <v>472</v>
      </c>
      <c r="O279" s="1" t="s">
        <v>297</v>
      </c>
    </row>
    <row r="280" spans="1:15" ht="132">
      <c r="A280" s="1">
        <v>37137</v>
      </c>
      <c r="B280" s="1" t="s">
        <v>236</v>
      </c>
      <c r="D280" s="1" t="s">
        <v>856</v>
      </c>
      <c r="E280" s="1" t="s">
        <v>99</v>
      </c>
      <c r="F280" s="1" t="s">
        <v>101</v>
      </c>
      <c r="I280" s="111" t="s">
        <v>857</v>
      </c>
      <c r="J280" s="1" t="s">
        <v>471</v>
      </c>
      <c r="K280" s="1" t="s">
        <v>269</v>
      </c>
      <c r="L280" s="1" t="s">
        <v>270</v>
      </c>
      <c r="M280" s="1" t="s">
        <v>472</v>
      </c>
      <c r="O280" s="1" t="s">
        <v>338</v>
      </c>
    </row>
    <row r="281" spans="1:15" ht="158.4">
      <c r="A281" s="1">
        <v>37132</v>
      </c>
      <c r="B281" s="1" t="s">
        <v>259</v>
      </c>
      <c r="D281" s="1" t="s">
        <v>858</v>
      </c>
      <c r="E281" s="1" t="s">
        <v>95</v>
      </c>
      <c r="F281" s="1" t="s">
        <v>100</v>
      </c>
      <c r="I281" s="111" t="s">
        <v>859</v>
      </c>
      <c r="J281" s="1" t="s">
        <v>471</v>
      </c>
      <c r="K281" s="1" t="s">
        <v>269</v>
      </c>
      <c r="L281" s="1" t="s">
        <v>287</v>
      </c>
      <c r="M281" s="1" t="s">
        <v>472</v>
      </c>
      <c r="N281" s="1" t="s">
        <v>860</v>
      </c>
      <c r="O281" s="1" t="s">
        <v>297</v>
      </c>
    </row>
    <row r="282" spans="1:15" ht="158.4">
      <c r="A282" s="1">
        <v>37130</v>
      </c>
      <c r="B282" s="1" t="s">
        <v>306</v>
      </c>
      <c r="D282" s="1" t="s">
        <v>861</v>
      </c>
      <c r="E282" s="1" t="s">
        <v>99</v>
      </c>
      <c r="F282" s="1" t="s">
        <v>101</v>
      </c>
      <c r="I282" s="111" t="s">
        <v>862</v>
      </c>
      <c r="J282" s="1" t="s">
        <v>471</v>
      </c>
      <c r="K282" s="1" t="s">
        <v>269</v>
      </c>
      <c r="L282" s="1" t="s">
        <v>270</v>
      </c>
      <c r="M282" s="1" t="s">
        <v>472</v>
      </c>
      <c r="N282" s="1" t="s">
        <v>738</v>
      </c>
      <c r="O282" s="1" t="s">
        <v>297</v>
      </c>
    </row>
    <row r="283" spans="1:15" ht="171.6">
      <c r="A283" s="1">
        <v>37113</v>
      </c>
      <c r="B283" s="1" t="s">
        <v>259</v>
      </c>
      <c r="D283" s="1" t="s">
        <v>863</v>
      </c>
      <c r="E283" s="1" t="s">
        <v>99</v>
      </c>
      <c r="F283" s="1" t="s">
        <v>100</v>
      </c>
      <c r="I283" s="111" t="s">
        <v>864</v>
      </c>
      <c r="J283" s="1" t="s">
        <v>471</v>
      </c>
      <c r="K283" s="1" t="s">
        <v>269</v>
      </c>
      <c r="L283" s="1" t="s">
        <v>287</v>
      </c>
      <c r="M283" s="1" t="s">
        <v>472</v>
      </c>
      <c r="O283" s="1" t="s">
        <v>297</v>
      </c>
    </row>
    <row r="284" spans="1:15" ht="132">
      <c r="A284" s="1">
        <v>37112</v>
      </c>
      <c r="B284" s="1" t="s">
        <v>259</v>
      </c>
      <c r="D284" s="1" t="s">
        <v>865</v>
      </c>
      <c r="E284" s="1" t="s">
        <v>95</v>
      </c>
      <c r="F284" s="1" t="s">
        <v>445</v>
      </c>
      <c r="I284" s="111" t="s">
        <v>866</v>
      </c>
      <c r="J284" s="1" t="s">
        <v>471</v>
      </c>
      <c r="K284" s="1" t="s">
        <v>269</v>
      </c>
      <c r="L284" s="1" t="s">
        <v>287</v>
      </c>
      <c r="M284" s="1" t="s">
        <v>472</v>
      </c>
      <c r="O284" s="1" t="s">
        <v>297</v>
      </c>
    </row>
    <row r="285" spans="1:15" ht="145.19999999999999">
      <c r="A285" s="1">
        <v>37109</v>
      </c>
      <c r="B285" s="1" t="s">
        <v>259</v>
      </c>
      <c r="D285" s="1" t="s">
        <v>867</v>
      </c>
      <c r="E285" s="1" t="s">
        <v>99</v>
      </c>
      <c r="F285" s="1" t="s">
        <v>100</v>
      </c>
      <c r="I285" s="111" t="s">
        <v>868</v>
      </c>
      <c r="J285" s="1" t="s">
        <v>471</v>
      </c>
      <c r="K285" s="1" t="s">
        <v>269</v>
      </c>
      <c r="L285" s="1" t="s">
        <v>287</v>
      </c>
      <c r="M285" s="1" t="s">
        <v>472</v>
      </c>
      <c r="N285" s="1" t="s">
        <v>305</v>
      </c>
      <c r="O285" s="1" t="s">
        <v>297</v>
      </c>
    </row>
    <row r="286" spans="1:15" ht="145.19999999999999">
      <c r="A286" s="1">
        <v>37106</v>
      </c>
      <c r="B286" s="1" t="s">
        <v>634</v>
      </c>
      <c r="D286" s="1" t="s">
        <v>869</v>
      </c>
      <c r="E286" s="1" t="s">
        <v>99</v>
      </c>
      <c r="F286" s="1" t="s">
        <v>100</v>
      </c>
      <c r="I286" s="111" t="s">
        <v>870</v>
      </c>
      <c r="J286" s="1" t="s">
        <v>471</v>
      </c>
      <c r="K286" s="1" t="s">
        <v>269</v>
      </c>
      <c r="L286" s="1" t="s">
        <v>287</v>
      </c>
      <c r="M286" s="1" t="s">
        <v>472</v>
      </c>
      <c r="O286" s="1" t="s">
        <v>297</v>
      </c>
    </row>
    <row r="287" spans="1:15" ht="118.8">
      <c r="A287" s="1">
        <v>37104</v>
      </c>
      <c r="B287" s="1" t="s">
        <v>236</v>
      </c>
      <c r="D287" s="1" t="s">
        <v>871</v>
      </c>
      <c r="E287" s="1" t="s">
        <v>99</v>
      </c>
      <c r="F287" s="1" t="s">
        <v>100</v>
      </c>
      <c r="I287" s="111" t="s">
        <v>872</v>
      </c>
      <c r="J287" s="1" t="s">
        <v>471</v>
      </c>
      <c r="K287" s="1" t="s">
        <v>269</v>
      </c>
      <c r="L287" s="1" t="s">
        <v>270</v>
      </c>
      <c r="M287" s="1" t="s">
        <v>472</v>
      </c>
      <c r="N287" s="1" t="s">
        <v>873</v>
      </c>
      <c r="O287" s="1" t="s">
        <v>297</v>
      </c>
    </row>
    <row r="288" spans="1:15" ht="118.8">
      <c r="A288" s="1">
        <v>37087</v>
      </c>
      <c r="B288" s="1" t="s">
        <v>375</v>
      </c>
      <c r="D288" s="1" t="s">
        <v>874</v>
      </c>
      <c r="E288" s="1" t="s">
        <v>99</v>
      </c>
      <c r="F288" s="1" t="s">
        <v>100</v>
      </c>
      <c r="I288" s="111" t="s">
        <v>875</v>
      </c>
      <c r="J288" s="1" t="s">
        <v>471</v>
      </c>
      <c r="K288" s="1" t="s">
        <v>269</v>
      </c>
      <c r="L288" s="1" t="s">
        <v>287</v>
      </c>
      <c r="M288" s="1" t="s">
        <v>472</v>
      </c>
      <c r="N288" s="1" t="s">
        <v>876</v>
      </c>
      <c r="O288" s="1" t="s">
        <v>297</v>
      </c>
    </row>
    <row r="289" spans="1:15" ht="92.4">
      <c r="A289" s="1">
        <v>37083</v>
      </c>
      <c r="B289" s="1" t="s">
        <v>277</v>
      </c>
      <c r="D289" s="1" t="s">
        <v>877</v>
      </c>
      <c r="E289" s="1" t="s">
        <v>99</v>
      </c>
      <c r="F289" s="1" t="s">
        <v>100</v>
      </c>
      <c r="I289" s="111" t="s">
        <v>878</v>
      </c>
      <c r="J289" s="1" t="s">
        <v>471</v>
      </c>
      <c r="K289" s="1" t="s">
        <v>269</v>
      </c>
      <c r="L289" s="1" t="s">
        <v>287</v>
      </c>
      <c r="M289" s="1" t="s">
        <v>472</v>
      </c>
      <c r="N289" s="1" t="s">
        <v>879</v>
      </c>
      <c r="O289" s="1" t="s">
        <v>297</v>
      </c>
    </row>
    <row r="290" spans="1:15" ht="132">
      <c r="A290" s="1">
        <v>37080</v>
      </c>
      <c r="B290" s="1" t="s">
        <v>880</v>
      </c>
      <c r="D290" s="1" t="s">
        <v>881</v>
      </c>
      <c r="E290" s="1" t="s">
        <v>99</v>
      </c>
      <c r="F290" s="1" t="s">
        <v>103</v>
      </c>
      <c r="I290" s="111" t="s">
        <v>882</v>
      </c>
      <c r="J290" s="1" t="s">
        <v>471</v>
      </c>
      <c r="K290" s="1" t="s">
        <v>269</v>
      </c>
      <c r="L290" s="1" t="s">
        <v>287</v>
      </c>
      <c r="M290" s="1" t="s">
        <v>472</v>
      </c>
      <c r="O290" s="1" t="s">
        <v>297</v>
      </c>
    </row>
  </sheetData>
  <autoFilter ref="A2:N40"/>
  <mergeCells count="1">
    <mergeCell ref="A1:M1"/>
  </mergeCells>
  <phoneticPr fontId="47" type="noConversion"/>
  <conditionalFormatting sqref="F2:F3">
    <cfRule type="cellIs" dxfId="76" priority="1" operator="equal">
      <formula>"Nok"</formula>
    </cfRule>
    <cfRule type="cellIs" dxfId="75" priority="2" operator="equal">
      <formula>"OK"</formula>
    </cfRule>
  </conditionalFormatting>
  <dataValidations disablePrompts="1" count="4">
    <dataValidation type="list" showErrorMessage="1" errorTitle="输入有误" error="您输入的值不在下拉框列表内。" sqref="F3:F40">
      <formula1>"代码错误,配置相关,安装部署,安全相关,性能问题,标准规范,测试脚本,设计缺陷,其他,界面优化"</formula1>
    </dataValidation>
    <dataValidation type="list" showErrorMessage="1" errorTitle="输入有误" error="您输入的值不在下拉框列表内。" sqref="G3:G40">
      <formula1>",全部,Windows,Windows 8,Windows 7  32位,Windows 7  64位,Windows 10  64位,Windows Vista,Windows XP,Windows 2012,Windows 2008,Windows 2003,Windows 2000,Android,IOS,WP8,WP7,Symbian,Linux,FreeBSD,OS X,Unix,其他"</formula1>
    </dataValidation>
    <dataValidation type="list" showErrorMessage="1" errorTitle="输入有误" error="您输入的值不在下拉框列表内。" sqref="H3:H40">
      <formula1>",全部,IE系列,IE11,IE10,IE9,IE8,IE7,IE6,chrome,firefox系列,firefox4,firefox3,firefox2,opera系列,opera11,opera10,opera9,safari,傲游,UC,其他"</formula1>
    </dataValidation>
    <dataValidation type="list" showErrorMessage="1" errorTitle="输入有误" error="您输入的值不在下拉框列表内。" sqref="E3:E40">
      <formula1>"S-致命错误,A-严重错误,B-一般错误,C-改善建议"</formula1>
    </dataValidation>
  </dataValidations>
  <pageMargins left="0.70866141732283472" right="0.70866141732283472" top="0.74803149606299213" bottom="0.74803149606299213" header="0.31496062992125978" footer="0.31496062992125978"/>
  <pageSetup paperSize="9" orientation="landscape"/>
  <headerFooter>
    <oddHeader>&amp;L&amp;6 &amp;G</oddHeader>
    <oddFooter>&amp;C本文中的所有信息均为深圳市雄帝科技股份有限公司内部信息，不得向外传播。</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93"/>
  <sheetViews>
    <sheetView zoomScaleNormal="100" workbookViewId="0">
      <selection sqref="A1:I1"/>
    </sheetView>
  </sheetViews>
  <sheetFormatPr defaultColWidth="9.109375" defaultRowHeight="13.2"/>
  <cols>
    <col min="1" max="1" width="6.21875" style="38" customWidth="1"/>
    <col min="2" max="2" width="11" style="38" customWidth="1"/>
    <col min="3" max="3" width="14.88671875" style="38" customWidth="1"/>
    <col min="4" max="4" width="17.44140625" style="38" customWidth="1"/>
    <col min="5" max="5" width="40.44140625" style="38" customWidth="1"/>
    <col min="6" max="6" width="8.44140625" style="38" customWidth="1"/>
    <col min="7" max="7" width="6.44140625" style="38" customWidth="1"/>
    <col min="8" max="8" width="6.44140625" style="39" customWidth="1"/>
    <col min="9" max="9" width="10" style="38" customWidth="1"/>
    <col min="10" max="10" width="9.109375" style="38" customWidth="1"/>
    <col min="11" max="16384" width="9.109375" style="38"/>
  </cols>
  <sheetData>
    <row r="1" spans="1:9" s="37" customFormat="1" ht="19.95" customHeight="1">
      <c r="A1" s="163" t="str">
        <f ca="1">MID(CELL("filename",A2),FIND("]",CELL("filename",A2))+1,255)</f>
        <v>产品需求列表</v>
      </c>
      <c r="B1" s="129"/>
      <c r="C1" s="129"/>
      <c r="D1" s="129"/>
      <c r="E1" s="129"/>
      <c r="F1" s="129"/>
      <c r="G1" s="129"/>
      <c r="H1" s="129"/>
      <c r="I1" s="129"/>
    </row>
    <row r="2" spans="1:9" s="2" customFormat="1" ht="28.2" customHeight="1">
      <c r="A2" s="5" t="s">
        <v>106</v>
      </c>
      <c r="B2" s="5" t="s">
        <v>81</v>
      </c>
      <c r="C2" s="5" t="s">
        <v>107</v>
      </c>
      <c r="D2" s="5" t="s">
        <v>108</v>
      </c>
      <c r="E2" s="5" t="s">
        <v>109</v>
      </c>
      <c r="F2" s="5" t="s">
        <v>110</v>
      </c>
      <c r="G2" s="5" t="s">
        <v>111</v>
      </c>
      <c r="H2" s="5" t="s">
        <v>112</v>
      </c>
      <c r="I2" s="5" t="s">
        <v>113</v>
      </c>
    </row>
    <row r="3" spans="1:9" ht="148.94999999999999" customHeight="1">
      <c r="A3" s="43">
        <v>17219</v>
      </c>
      <c r="B3" s="43" t="s">
        <v>883</v>
      </c>
      <c r="C3" s="43" t="s">
        <v>884</v>
      </c>
      <c r="D3" s="43" t="s">
        <v>885</v>
      </c>
      <c r="E3" s="43"/>
      <c r="F3" s="43" t="s">
        <v>114</v>
      </c>
      <c r="G3" s="43">
        <v>0</v>
      </c>
      <c r="H3" s="43">
        <v>1</v>
      </c>
      <c r="I3" s="43"/>
    </row>
    <row r="4" spans="1:9" ht="24" customHeight="1">
      <c r="A4" s="43">
        <v>16671</v>
      </c>
      <c r="B4" s="43" t="s">
        <v>277</v>
      </c>
      <c r="C4" s="43" t="s">
        <v>886</v>
      </c>
      <c r="D4" s="43" t="s">
        <v>886</v>
      </c>
      <c r="E4" s="43"/>
      <c r="F4" s="43" t="s">
        <v>114</v>
      </c>
      <c r="G4" s="43">
        <v>0</v>
      </c>
      <c r="H4" s="43">
        <v>1</v>
      </c>
      <c r="I4" s="43"/>
    </row>
    <row r="5" spans="1:9" ht="24" customHeight="1">
      <c r="A5" s="43">
        <v>16668</v>
      </c>
      <c r="B5" s="43" t="s">
        <v>259</v>
      </c>
      <c r="C5" s="43" t="s">
        <v>887</v>
      </c>
      <c r="D5" s="43" t="s">
        <v>887</v>
      </c>
      <c r="E5" s="43"/>
      <c r="F5" s="43" t="s">
        <v>114</v>
      </c>
      <c r="G5" s="43">
        <v>0</v>
      </c>
      <c r="H5" s="43">
        <v>1</v>
      </c>
      <c r="I5" s="43"/>
    </row>
    <row r="6" spans="1:9" ht="24" customHeight="1">
      <c r="A6" s="43">
        <v>16667</v>
      </c>
      <c r="B6" s="43" t="s">
        <v>888</v>
      </c>
      <c r="C6" s="43" t="s">
        <v>889</v>
      </c>
      <c r="D6" s="43" t="s">
        <v>890</v>
      </c>
      <c r="E6" s="43"/>
      <c r="F6" s="43" t="s">
        <v>114</v>
      </c>
      <c r="G6" s="43">
        <v>0</v>
      </c>
      <c r="H6" s="43">
        <v>2</v>
      </c>
      <c r="I6" s="43"/>
    </row>
    <row r="7" spans="1:9" ht="24" customHeight="1">
      <c r="A7" s="43">
        <v>16046</v>
      </c>
      <c r="B7" s="43" t="s">
        <v>880</v>
      </c>
      <c r="C7" s="43" t="s">
        <v>891</v>
      </c>
      <c r="D7" s="43" t="s">
        <v>891</v>
      </c>
      <c r="E7" s="43"/>
      <c r="F7" s="43" t="s">
        <v>114</v>
      </c>
      <c r="G7" s="43">
        <v>0</v>
      </c>
      <c r="H7" s="43">
        <v>1</v>
      </c>
      <c r="I7" s="43"/>
    </row>
    <row r="8" spans="1:9" ht="24" customHeight="1">
      <c r="A8" s="43">
        <v>15522</v>
      </c>
      <c r="B8" s="43" t="s">
        <v>309</v>
      </c>
      <c r="C8" s="43" t="s">
        <v>892</v>
      </c>
      <c r="D8" s="43" t="s">
        <v>892</v>
      </c>
      <c r="E8" s="43" t="s">
        <v>893</v>
      </c>
      <c r="F8" s="43" t="s">
        <v>114</v>
      </c>
      <c r="G8" s="43">
        <v>0</v>
      </c>
      <c r="H8" s="43">
        <v>1</v>
      </c>
      <c r="I8" s="43"/>
    </row>
    <row r="9" spans="1:9" ht="24" customHeight="1">
      <c r="A9" s="43">
        <v>15520</v>
      </c>
      <c r="B9" s="43" t="s">
        <v>277</v>
      </c>
      <c r="C9" s="43" t="s">
        <v>894</v>
      </c>
      <c r="D9" s="43" t="s">
        <v>894</v>
      </c>
      <c r="E9" s="43" t="s">
        <v>893</v>
      </c>
      <c r="F9" s="43" t="s">
        <v>114</v>
      </c>
      <c r="G9" s="43">
        <v>0</v>
      </c>
      <c r="H9" s="43">
        <v>1</v>
      </c>
      <c r="I9" s="43"/>
    </row>
    <row r="10" spans="1:9" ht="60" customHeight="1">
      <c r="A10" s="43">
        <v>15518</v>
      </c>
      <c r="B10" s="43" t="s">
        <v>259</v>
      </c>
      <c r="C10" s="43" t="s">
        <v>895</v>
      </c>
      <c r="D10" s="43" t="s">
        <v>896</v>
      </c>
      <c r="E10" s="43" t="s">
        <v>893</v>
      </c>
      <c r="F10" s="43" t="s">
        <v>114</v>
      </c>
      <c r="G10" s="43">
        <v>0</v>
      </c>
      <c r="H10" s="43">
        <v>1</v>
      </c>
      <c r="I10" s="43"/>
    </row>
    <row r="11" spans="1:9" ht="24" customHeight="1">
      <c r="A11" s="43">
        <v>15496</v>
      </c>
      <c r="B11" s="43" t="s">
        <v>747</v>
      </c>
      <c r="C11" s="43" t="s">
        <v>897</v>
      </c>
      <c r="D11" s="43" t="s">
        <v>897</v>
      </c>
      <c r="E11" s="43" t="s">
        <v>893</v>
      </c>
      <c r="F11" s="43" t="s">
        <v>114</v>
      </c>
      <c r="G11" s="43">
        <v>0</v>
      </c>
      <c r="H11" s="43">
        <v>1</v>
      </c>
      <c r="I11" s="43"/>
    </row>
    <row r="12" spans="1:9" ht="24" customHeight="1">
      <c r="A12" s="43">
        <v>15495</v>
      </c>
      <c r="B12" s="43" t="s">
        <v>747</v>
      </c>
      <c r="C12" s="43" t="s">
        <v>898</v>
      </c>
      <c r="D12" s="43" t="s">
        <v>898</v>
      </c>
      <c r="E12" s="43" t="s">
        <v>893</v>
      </c>
      <c r="F12" s="43" t="s">
        <v>114</v>
      </c>
      <c r="G12" s="43">
        <v>0</v>
      </c>
      <c r="H12" s="43">
        <v>1</v>
      </c>
      <c r="I12" s="43"/>
    </row>
    <row r="13" spans="1:9" ht="36" customHeight="1">
      <c r="A13" s="43">
        <v>15494</v>
      </c>
      <c r="B13" s="43" t="s">
        <v>277</v>
      </c>
      <c r="C13" s="43" t="s">
        <v>899</v>
      </c>
      <c r="D13" s="43" t="s">
        <v>899</v>
      </c>
      <c r="E13" s="43" t="s">
        <v>893</v>
      </c>
      <c r="F13" s="43" t="s">
        <v>114</v>
      </c>
      <c r="G13" s="43">
        <v>0</v>
      </c>
      <c r="H13" s="43">
        <v>1</v>
      </c>
      <c r="I13" s="43"/>
    </row>
    <row r="14" spans="1:9" ht="36" customHeight="1">
      <c r="A14" s="43">
        <v>15493</v>
      </c>
      <c r="B14" s="43" t="s">
        <v>462</v>
      </c>
      <c r="C14" s="43" t="s">
        <v>900</v>
      </c>
      <c r="D14" s="43" t="s">
        <v>900</v>
      </c>
      <c r="E14" s="43" t="s">
        <v>893</v>
      </c>
      <c r="F14" s="43" t="s">
        <v>114</v>
      </c>
      <c r="G14" s="43">
        <v>0</v>
      </c>
      <c r="H14" s="43">
        <v>5</v>
      </c>
      <c r="I14" s="43"/>
    </row>
    <row r="15" spans="1:9" ht="24" customHeight="1">
      <c r="A15" s="43">
        <v>15492</v>
      </c>
      <c r="B15" s="43" t="s">
        <v>277</v>
      </c>
      <c r="C15" s="43" t="s">
        <v>901</v>
      </c>
      <c r="D15" s="43" t="s">
        <v>901</v>
      </c>
      <c r="E15" s="43" t="s">
        <v>893</v>
      </c>
      <c r="F15" s="43" t="s">
        <v>114</v>
      </c>
      <c r="G15" s="43">
        <v>0</v>
      </c>
      <c r="H15" s="43">
        <v>1</v>
      </c>
      <c r="I15" s="43"/>
    </row>
    <row r="16" spans="1:9" ht="24" customHeight="1">
      <c r="A16" s="43">
        <v>15491</v>
      </c>
      <c r="B16" s="43" t="s">
        <v>277</v>
      </c>
      <c r="C16" s="43" t="s">
        <v>902</v>
      </c>
      <c r="D16" s="43" t="s">
        <v>902</v>
      </c>
      <c r="E16" s="43" t="s">
        <v>893</v>
      </c>
      <c r="F16" s="43" t="s">
        <v>114</v>
      </c>
      <c r="G16" s="43">
        <v>0</v>
      </c>
      <c r="H16" s="43">
        <v>1</v>
      </c>
      <c r="I16" s="43"/>
    </row>
    <row r="17" spans="1:9" ht="24" customHeight="1">
      <c r="A17" s="43">
        <v>15490</v>
      </c>
      <c r="B17" s="43" t="s">
        <v>903</v>
      </c>
      <c r="C17" s="43" t="s">
        <v>904</v>
      </c>
      <c r="D17" s="43" t="s">
        <v>905</v>
      </c>
      <c r="E17" s="43" t="s">
        <v>893</v>
      </c>
      <c r="F17" s="43" t="s">
        <v>114</v>
      </c>
      <c r="G17" s="43">
        <v>0</v>
      </c>
      <c r="H17" s="43">
        <v>1</v>
      </c>
      <c r="I17" s="43"/>
    </row>
    <row r="18" spans="1:9" ht="24" customHeight="1">
      <c r="A18" s="43">
        <v>15489</v>
      </c>
      <c r="B18" s="43" t="s">
        <v>906</v>
      </c>
      <c r="C18" s="43" t="s">
        <v>907</v>
      </c>
      <c r="D18" s="43" t="s">
        <v>907</v>
      </c>
      <c r="E18" s="43" t="s">
        <v>893</v>
      </c>
      <c r="F18" s="43" t="s">
        <v>114</v>
      </c>
      <c r="G18" s="43">
        <v>0</v>
      </c>
      <c r="H18" s="43">
        <v>1</v>
      </c>
      <c r="I18" s="43"/>
    </row>
    <row r="19" spans="1:9" ht="24" customHeight="1">
      <c r="A19" s="43">
        <v>15488</v>
      </c>
      <c r="B19" s="43" t="s">
        <v>906</v>
      </c>
      <c r="C19" s="43" t="s">
        <v>908</v>
      </c>
      <c r="D19" s="43" t="s">
        <v>908</v>
      </c>
      <c r="E19" s="43" t="s">
        <v>893</v>
      </c>
      <c r="F19" s="43" t="s">
        <v>114</v>
      </c>
      <c r="G19" s="43">
        <v>0</v>
      </c>
      <c r="H19" s="43">
        <v>1</v>
      </c>
      <c r="I19" s="43"/>
    </row>
    <row r="20" spans="1:9" ht="24" customHeight="1">
      <c r="A20" s="43">
        <v>15487</v>
      </c>
      <c r="B20" s="43" t="s">
        <v>759</v>
      </c>
      <c r="C20" s="43" t="s">
        <v>909</v>
      </c>
      <c r="D20" s="43" t="s">
        <v>910</v>
      </c>
      <c r="E20" s="43" t="s">
        <v>893</v>
      </c>
      <c r="F20" s="43" t="s">
        <v>114</v>
      </c>
      <c r="G20" s="43">
        <v>0</v>
      </c>
      <c r="H20" s="43">
        <v>2</v>
      </c>
      <c r="I20" s="43"/>
    </row>
    <row r="21" spans="1:9" ht="24" customHeight="1">
      <c r="A21" s="43">
        <v>15486</v>
      </c>
      <c r="B21" s="43" t="s">
        <v>911</v>
      </c>
      <c r="C21" s="43" t="s">
        <v>912</v>
      </c>
      <c r="D21" s="43" t="s">
        <v>912</v>
      </c>
      <c r="E21" s="43" t="s">
        <v>893</v>
      </c>
      <c r="F21" s="43" t="s">
        <v>114</v>
      </c>
      <c r="G21" s="43">
        <v>0</v>
      </c>
      <c r="H21" s="43">
        <v>2</v>
      </c>
      <c r="I21" s="43"/>
    </row>
    <row r="22" spans="1:9" ht="24" customHeight="1">
      <c r="A22" s="43">
        <v>15485</v>
      </c>
      <c r="B22" s="43" t="s">
        <v>913</v>
      </c>
      <c r="C22" s="43" t="s">
        <v>914</v>
      </c>
      <c r="D22" s="43" t="s">
        <v>914</v>
      </c>
      <c r="E22" s="43" t="s">
        <v>893</v>
      </c>
      <c r="F22" s="43" t="s">
        <v>114</v>
      </c>
      <c r="G22" s="43">
        <v>0</v>
      </c>
      <c r="H22" s="43">
        <v>2</v>
      </c>
      <c r="I22" s="43"/>
    </row>
    <row r="23" spans="1:9" ht="24" customHeight="1">
      <c r="A23" s="43">
        <v>15484</v>
      </c>
      <c r="B23" s="43" t="s">
        <v>755</v>
      </c>
      <c r="C23" s="43" t="s">
        <v>915</v>
      </c>
      <c r="D23" s="43" t="s">
        <v>915</v>
      </c>
      <c r="E23" s="43" t="s">
        <v>893</v>
      </c>
      <c r="F23" s="43" t="s">
        <v>114</v>
      </c>
      <c r="G23" s="43">
        <v>0</v>
      </c>
      <c r="H23" s="43">
        <v>2</v>
      </c>
      <c r="I23" s="43"/>
    </row>
    <row r="24" spans="1:9" ht="108" customHeight="1">
      <c r="A24" s="43">
        <v>15483</v>
      </c>
      <c r="B24" s="43" t="s">
        <v>916</v>
      </c>
      <c r="C24" s="43" t="s">
        <v>917</v>
      </c>
      <c r="D24" s="43" t="s">
        <v>918</v>
      </c>
      <c r="E24" s="43" t="s">
        <v>893</v>
      </c>
      <c r="F24" s="43" t="s">
        <v>114</v>
      </c>
      <c r="G24" s="43">
        <v>0</v>
      </c>
      <c r="H24" s="43">
        <v>1</v>
      </c>
      <c r="I24" s="43"/>
    </row>
    <row r="25" spans="1:9" ht="24" customHeight="1">
      <c r="A25" s="43">
        <v>15482</v>
      </c>
      <c r="B25" s="43" t="s">
        <v>919</v>
      </c>
      <c r="C25" s="43" t="s">
        <v>920</v>
      </c>
      <c r="D25" s="43" t="s">
        <v>921</v>
      </c>
      <c r="E25" s="43" t="s">
        <v>893</v>
      </c>
      <c r="F25" s="43" t="s">
        <v>114</v>
      </c>
      <c r="G25" s="43">
        <v>0</v>
      </c>
      <c r="H25" s="43">
        <v>2</v>
      </c>
      <c r="I25" s="43"/>
    </row>
    <row r="26" spans="1:9" ht="24" customHeight="1">
      <c r="A26" s="43">
        <v>15481</v>
      </c>
      <c r="B26" s="43" t="s">
        <v>259</v>
      </c>
      <c r="C26" s="43" t="s">
        <v>922</v>
      </c>
      <c r="D26" s="43" t="s">
        <v>922</v>
      </c>
      <c r="E26" s="43" t="s">
        <v>893</v>
      </c>
      <c r="F26" s="43" t="s">
        <v>114</v>
      </c>
      <c r="G26" s="43">
        <v>0</v>
      </c>
      <c r="H26" s="43">
        <v>1</v>
      </c>
      <c r="I26" s="43"/>
    </row>
    <row r="27" spans="1:9" ht="24" customHeight="1">
      <c r="A27" s="43">
        <v>15480</v>
      </c>
      <c r="B27" s="43" t="s">
        <v>923</v>
      </c>
      <c r="C27" s="43" t="s">
        <v>924</v>
      </c>
      <c r="D27" s="43" t="s">
        <v>925</v>
      </c>
      <c r="E27" s="43" t="s">
        <v>893</v>
      </c>
      <c r="F27" s="43" t="s">
        <v>114</v>
      </c>
      <c r="G27" s="43">
        <v>0</v>
      </c>
      <c r="H27" s="43">
        <v>1</v>
      </c>
      <c r="I27" s="43"/>
    </row>
    <row r="28" spans="1:9" ht="36" customHeight="1">
      <c r="A28" s="43">
        <v>15479</v>
      </c>
      <c r="B28" s="43" t="s">
        <v>926</v>
      </c>
      <c r="C28" s="43" t="s">
        <v>927</v>
      </c>
      <c r="D28" s="43" t="s">
        <v>927</v>
      </c>
      <c r="E28" s="43" t="s">
        <v>893</v>
      </c>
      <c r="F28" s="43" t="s">
        <v>114</v>
      </c>
      <c r="G28" s="43">
        <v>0</v>
      </c>
      <c r="H28" s="43">
        <v>1</v>
      </c>
      <c r="I28" s="43"/>
    </row>
    <row r="29" spans="1:9" ht="24" customHeight="1">
      <c r="A29" s="43">
        <v>15478</v>
      </c>
      <c r="B29" s="43" t="s">
        <v>759</v>
      </c>
      <c r="C29" s="43" t="s">
        <v>928</v>
      </c>
      <c r="D29" s="43" t="s">
        <v>928</v>
      </c>
      <c r="E29" s="43" t="s">
        <v>893</v>
      </c>
      <c r="F29" s="43" t="s">
        <v>114</v>
      </c>
      <c r="G29" s="43">
        <v>0</v>
      </c>
      <c r="H29" s="43">
        <v>1</v>
      </c>
      <c r="I29" s="43"/>
    </row>
    <row r="30" spans="1:9" ht="24" customHeight="1">
      <c r="A30" s="43">
        <v>15477</v>
      </c>
      <c r="B30" s="43" t="s">
        <v>277</v>
      </c>
      <c r="C30" s="43" t="s">
        <v>929</v>
      </c>
      <c r="D30" s="43" t="s">
        <v>929</v>
      </c>
      <c r="E30" s="43" t="s">
        <v>893</v>
      </c>
      <c r="F30" s="43" t="s">
        <v>114</v>
      </c>
      <c r="G30" s="43">
        <v>0</v>
      </c>
      <c r="H30" s="43">
        <v>1</v>
      </c>
      <c r="I30" s="43"/>
    </row>
    <row r="31" spans="1:9" ht="24" customHeight="1">
      <c r="A31" s="43">
        <v>15476</v>
      </c>
      <c r="B31" s="43" t="s">
        <v>277</v>
      </c>
      <c r="C31" s="43" t="s">
        <v>930</v>
      </c>
      <c r="D31" s="43" t="s">
        <v>930</v>
      </c>
      <c r="E31" s="43" t="s">
        <v>893</v>
      </c>
      <c r="F31" s="43" t="s">
        <v>114</v>
      </c>
      <c r="G31" s="43">
        <v>0</v>
      </c>
      <c r="H31" s="43">
        <v>1</v>
      </c>
      <c r="I31" s="43"/>
    </row>
    <row r="32" spans="1:9" ht="24" customHeight="1">
      <c r="A32" s="43">
        <v>15475</v>
      </c>
      <c r="B32" s="43" t="s">
        <v>277</v>
      </c>
      <c r="C32" s="43" t="s">
        <v>931</v>
      </c>
      <c r="D32" s="43" t="s">
        <v>932</v>
      </c>
      <c r="E32" s="43" t="s">
        <v>931</v>
      </c>
      <c r="F32" s="43" t="s">
        <v>114</v>
      </c>
      <c r="G32" s="43">
        <v>0</v>
      </c>
      <c r="H32" s="43">
        <v>1</v>
      </c>
      <c r="I32" s="43"/>
    </row>
    <row r="33" spans="1:9" ht="24" customHeight="1">
      <c r="A33" s="43">
        <v>15474</v>
      </c>
      <c r="B33" s="43" t="s">
        <v>277</v>
      </c>
      <c r="C33" s="43" t="s">
        <v>933</v>
      </c>
      <c r="D33" s="43" t="s">
        <v>933</v>
      </c>
      <c r="E33" s="43" t="s">
        <v>893</v>
      </c>
      <c r="F33" s="43" t="s">
        <v>114</v>
      </c>
      <c r="G33" s="43">
        <v>0</v>
      </c>
      <c r="H33" s="43">
        <v>1</v>
      </c>
      <c r="I33" s="43"/>
    </row>
    <row r="34" spans="1:9" ht="36" customHeight="1">
      <c r="A34" s="43">
        <v>15473</v>
      </c>
      <c r="B34" s="43" t="s">
        <v>277</v>
      </c>
      <c r="C34" s="43" t="s">
        <v>934</v>
      </c>
      <c r="D34" s="43" t="s">
        <v>934</v>
      </c>
      <c r="E34" s="43" t="s">
        <v>893</v>
      </c>
      <c r="F34" s="43" t="s">
        <v>114</v>
      </c>
      <c r="G34" s="43">
        <v>0</v>
      </c>
      <c r="H34" s="43">
        <v>1</v>
      </c>
      <c r="I34" s="43"/>
    </row>
    <row r="35" spans="1:9" ht="36" customHeight="1">
      <c r="A35" s="43">
        <v>15472</v>
      </c>
      <c r="B35" s="43" t="s">
        <v>277</v>
      </c>
      <c r="C35" s="43" t="s">
        <v>935</v>
      </c>
      <c r="D35" s="43" t="s">
        <v>935</v>
      </c>
      <c r="E35" s="43" t="s">
        <v>893</v>
      </c>
      <c r="F35" s="43" t="s">
        <v>114</v>
      </c>
      <c r="G35" s="43">
        <v>0</v>
      </c>
      <c r="H35" s="43">
        <v>1</v>
      </c>
      <c r="I35" s="43"/>
    </row>
    <row r="36" spans="1:9" ht="36" customHeight="1">
      <c r="A36" s="43">
        <v>15471</v>
      </c>
      <c r="B36" s="43" t="s">
        <v>277</v>
      </c>
      <c r="C36" s="43" t="s">
        <v>936</v>
      </c>
      <c r="D36" s="43" t="s">
        <v>936</v>
      </c>
      <c r="E36" s="43" t="s">
        <v>893</v>
      </c>
      <c r="F36" s="43" t="s">
        <v>114</v>
      </c>
      <c r="G36" s="43">
        <v>0</v>
      </c>
      <c r="H36" s="43">
        <v>1</v>
      </c>
      <c r="I36" s="43"/>
    </row>
    <row r="37" spans="1:9" ht="24" customHeight="1">
      <c r="A37" s="43">
        <v>15469</v>
      </c>
      <c r="B37" s="43" t="s">
        <v>277</v>
      </c>
      <c r="C37" s="43" t="s">
        <v>937</v>
      </c>
      <c r="D37" s="43" t="s">
        <v>937</v>
      </c>
      <c r="E37" s="43" t="s">
        <v>893</v>
      </c>
      <c r="F37" s="43" t="s">
        <v>114</v>
      </c>
      <c r="G37" s="43">
        <v>0</v>
      </c>
      <c r="H37" s="43">
        <v>1</v>
      </c>
      <c r="I37" s="43"/>
    </row>
    <row r="38" spans="1:9" ht="24" customHeight="1">
      <c r="A38" s="43">
        <v>15468</v>
      </c>
      <c r="B38" s="43" t="s">
        <v>277</v>
      </c>
      <c r="C38" s="43" t="s">
        <v>938</v>
      </c>
      <c r="D38" s="43" t="s">
        <v>939</v>
      </c>
      <c r="E38" s="43" t="s">
        <v>893</v>
      </c>
      <c r="F38" s="43" t="s">
        <v>114</v>
      </c>
      <c r="G38" s="43">
        <v>0</v>
      </c>
      <c r="H38" s="43">
        <v>1</v>
      </c>
      <c r="I38" s="43"/>
    </row>
    <row r="39" spans="1:9" ht="24" customHeight="1">
      <c r="A39" s="43">
        <v>15466</v>
      </c>
      <c r="B39" s="43" t="s">
        <v>411</v>
      </c>
      <c r="C39" s="43" t="s">
        <v>940</v>
      </c>
      <c r="D39" s="43" t="s">
        <v>940</v>
      </c>
      <c r="E39" s="43" t="s">
        <v>893</v>
      </c>
      <c r="F39" s="43" t="s">
        <v>114</v>
      </c>
      <c r="G39" s="43">
        <v>0</v>
      </c>
      <c r="H39" s="43">
        <v>1</v>
      </c>
      <c r="I39" s="43"/>
    </row>
    <row r="40" spans="1:9" ht="24" customHeight="1">
      <c r="A40" s="43">
        <v>15463</v>
      </c>
      <c r="B40" s="43" t="s">
        <v>375</v>
      </c>
      <c r="C40" s="43" t="s">
        <v>941</v>
      </c>
      <c r="D40" s="43" t="s">
        <v>941</v>
      </c>
      <c r="E40" s="43" t="s">
        <v>893</v>
      </c>
      <c r="F40" s="43" t="s">
        <v>114</v>
      </c>
      <c r="G40" s="43">
        <v>0</v>
      </c>
      <c r="H40" s="43">
        <v>1</v>
      </c>
      <c r="I40" s="43"/>
    </row>
    <row r="41" spans="1:9" ht="24" customHeight="1">
      <c r="A41" s="43">
        <v>15462</v>
      </c>
      <c r="B41" s="43" t="s">
        <v>634</v>
      </c>
      <c r="C41" s="43" t="s">
        <v>942</v>
      </c>
      <c r="D41" s="43" t="s">
        <v>942</v>
      </c>
      <c r="E41" s="43" t="s">
        <v>893</v>
      </c>
      <c r="F41" s="43" t="s">
        <v>114</v>
      </c>
      <c r="G41" s="43">
        <v>0</v>
      </c>
      <c r="H41" s="43">
        <v>1</v>
      </c>
      <c r="I41" s="43"/>
    </row>
    <row r="42" spans="1:9" ht="24" customHeight="1">
      <c r="A42" s="43">
        <v>15460</v>
      </c>
      <c r="B42" s="43" t="s">
        <v>810</v>
      </c>
      <c r="C42" s="43" t="s">
        <v>943</v>
      </c>
      <c r="D42" s="43" t="s">
        <v>943</v>
      </c>
      <c r="E42" s="43" t="s">
        <v>893</v>
      </c>
      <c r="F42" s="43" t="s">
        <v>114</v>
      </c>
      <c r="G42" s="43">
        <v>0</v>
      </c>
      <c r="H42" s="43">
        <v>1</v>
      </c>
      <c r="I42" s="43"/>
    </row>
    <row r="43" spans="1:9" ht="24" customHeight="1">
      <c r="A43" s="43">
        <v>15458</v>
      </c>
      <c r="B43" s="43" t="s">
        <v>903</v>
      </c>
      <c r="C43" s="43" t="s">
        <v>944</v>
      </c>
      <c r="D43" s="43" t="s">
        <v>945</v>
      </c>
      <c r="E43" s="43" t="s">
        <v>893</v>
      </c>
      <c r="F43" s="43" t="s">
        <v>114</v>
      </c>
      <c r="G43" s="43">
        <v>0</v>
      </c>
      <c r="H43" s="43">
        <v>1</v>
      </c>
      <c r="I43" s="43"/>
    </row>
    <row r="44" spans="1:9" ht="24" customHeight="1">
      <c r="A44" s="43">
        <v>15457</v>
      </c>
      <c r="B44" s="43" t="s">
        <v>259</v>
      </c>
      <c r="C44" s="43" t="s">
        <v>946</v>
      </c>
      <c r="D44" s="43" t="s">
        <v>947</v>
      </c>
      <c r="E44" s="43" t="s">
        <v>893</v>
      </c>
      <c r="F44" s="43" t="s">
        <v>114</v>
      </c>
      <c r="G44" s="43">
        <v>0</v>
      </c>
      <c r="H44" s="43">
        <v>1</v>
      </c>
      <c r="I44" s="43"/>
    </row>
    <row r="45" spans="1:9" ht="24" customHeight="1">
      <c r="A45" s="43">
        <v>15456</v>
      </c>
      <c r="B45" s="43" t="s">
        <v>277</v>
      </c>
      <c r="C45" s="43" t="s">
        <v>948</v>
      </c>
      <c r="D45" s="43" t="s">
        <v>949</v>
      </c>
      <c r="E45" s="43" t="s">
        <v>948</v>
      </c>
      <c r="F45" s="43" t="s">
        <v>114</v>
      </c>
      <c r="G45" s="43">
        <v>0</v>
      </c>
      <c r="H45" s="43">
        <v>2</v>
      </c>
      <c r="I45" s="43"/>
    </row>
    <row r="46" spans="1:9" ht="24" customHeight="1">
      <c r="A46" s="43">
        <v>15455</v>
      </c>
      <c r="B46" s="43" t="s">
        <v>950</v>
      </c>
      <c r="C46" s="43" t="s">
        <v>951</v>
      </c>
      <c r="D46" s="43" t="s">
        <v>951</v>
      </c>
      <c r="E46" s="43" t="s">
        <v>893</v>
      </c>
      <c r="F46" s="43" t="s">
        <v>114</v>
      </c>
      <c r="G46" s="43">
        <v>0</v>
      </c>
      <c r="H46" s="43">
        <v>1</v>
      </c>
      <c r="I46" s="43"/>
    </row>
    <row r="47" spans="1:9" ht="24" customHeight="1">
      <c r="A47" s="43"/>
      <c r="B47" s="43"/>
      <c r="C47" s="43"/>
      <c r="D47" s="43"/>
      <c r="E47" s="43"/>
      <c r="F47" s="43"/>
      <c r="G47" s="43"/>
      <c r="H47" s="43"/>
      <c r="I47" s="43"/>
    </row>
    <row r="48" spans="1:9" ht="24" customHeight="1">
      <c r="A48" s="43"/>
      <c r="B48" s="43"/>
      <c r="C48" s="43"/>
      <c r="D48" s="43"/>
      <c r="E48" s="43"/>
      <c r="F48" s="43"/>
      <c r="G48" s="43"/>
      <c r="H48" s="43"/>
      <c r="I48" s="43"/>
    </row>
    <row r="49" spans="1:9" ht="24" customHeight="1">
      <c r="A49" s="43"/>
      <c r="B49" s="43"/>
      <c r="C49" s="43"/>
      <c r="D49" s="43"/>
      <c r="E49" s="43"/>
      <c r="F49" s="43"/>
      <c r="G49" s="43"/>
      <c r="H49" s="43"/>
      <c r="I49" s="43"/>
    </row>
    <row r="50" spans="1:9" ht="24" customHeight="1">
      <c r="A50" s="43"/>
      <c r="B50" s="43"/>
      <c r="C50" s="43"/>
      <c r="D50" s="43"/>
      <c r="E50" s="43"/>
      <c r="F50" s="43"/>
      <c r="G50" s="43"/>
      <c r="H50" s="43"/>
      <c r="I50" s="43"/>
    </row>
    <row r="51" spans="1:9" ht="24" customHeight="1">
      <c r="A51" s="43"/>
      <c r="B51" s="43"/>
      <c r="C51" s="43"/>
      <c r="D51" s="43"/>
      <c r="E51" s="43"/>
      <c r="F51" s="43"/>
      <c r="G51" s="43"/>
      <c r="H51" s="43"/>
      <c r="I51" s="43"/>
    </row>
    <row r="52" spans="1:9" ht="24" customHeight="1">
      <c r="A52" s="43"/>
      <c r="B52" s="43"/>
      <c r="C52" s="43"/>
      <c r="D52" s="43"/>
      <c r="E52" s="43"/>
      <c r="F52" s="43"/>
      <c r="G52" s="43"/>
      <c r="H52" s="43"/>
      <c r="I52" s="43"/>
    </row>
    <row r="53" spans="1:9" ht="24" customHeight="1">
      <c r="A53" s="43"/>
      <c r="B53" s="43"/>
      <c r="C53" s="43"/>
      <c r="D53" s="43"/>
      <c r="E53" s="43"/>
      <c r="F53" s="43"/>
      <c r="G53" s="43"/>
      <c r="H53" s="43"/>
      <c r="I53" s="43"/>
    </row>
    <row r="54" spans="1:9" ht="24" customHeight="1">
      <c r="A54" s="43"/>
      <c r="B54" s="43"/>
      <c r="C54" s="43"/>
      <c r="D54" s="43"/>
      <c r="E54" s="43"/>
      <c r="F54" s="43"/>
      <c r="G54" s="43"/>
      <c r="H54" s="43"/>
      <c r="I54" s="43"/>
    </row>
    <row r="55" spans="1:9" ht="24" customHeight="1">
      <c r="A55" s="43"/>
      <c r="B55" s="43"/>
      <c r="C55" s="43"/>
      <c r="D55" s="43"/>
      <c r="E55" s="43"/>
      <c r="F55" s="43"/>
      <c r="G55" s="43"/>
      <c r="H55" s="43"/>
      <c r="I55" s="43"/>
    </row>
    <row r="56" spans="1:9" ht="24" customHeight="1">
      <c r="A56" s="43"/>
      <c r="B56" s="43"/>
      <c r="C56" s="43"/>
      <c r="D56" s="43"/>
      <c r="E56" s="43"/>
      <c r="F56" s="43"/>
      <c r="G56" s="43"/>
      <c r="H56" s="43"/>
      <c r="I56" s="43"/>
    </row>
    <row r="57" spans="1:9" ht="24" customHeight="1">
      <c r="A57" s="43"/>
      <c r="B57" s="43"/>
      <c r="C57" s="43"/>
      <c r="D57" s="43"/>
      <c r="E57" s="43"/>
      <c r="F57" s="43"/>
      <c r="G57" s="43"/>
      <c r="H57" s="43"/>
      <c r="I57" s="43"/>
    </row>
    <row r="58" spans="1:9" ht="24" customHeight="1">
      <c r="A58" s="43"/>
      <c r="B58" s="43"/>
      <c r="C58" s="43"/>
      <c r="D58" s="43"/>
      <c r="E58" s="43"/>
      <c r="F58" s="43"/>
      <c r="G58" s="43"/>
      <c r="H58" s="43"/>
      <c r="I58" s="43"/>
    </row>
    <row r="59" spans="1:9" ht="24" customHeight="1">
      <c r="A59" s="43"/>
      <c r="B59" s="43"/>
      <c r="C59" s="43"/>
      <c r="D59" s="43"/>
      <c r="E59" s="43"/>
      <c r="F59" s="43"/>
      <c r="G59" s="43"/>
      <c r="H59" s="43"/>
      <c r="I59" s="43"/>
    </row>
    <row r="60" spans="1:9" ht="24" customHeight="1">
      <c r="A60" s="43"/>
      <c r="B60" s="43"/>
      <c r="C60" s="43"/>
      <c r="D60" s="43"/>
      <c r="E60" s="43"/>
      <c r="F60" s="43"/>
      <c r="G60" s="43"/>
      <c r="H60" s="43"/>
      <c r="I60" s="43"/>
    </row>
    <row r="61" spans="1:9" ht="24" customHeight="1">
      <c r="A61" s="43"/>
      <c r="B61" s="43"/>
      <c r="C61" s="43"/>
      <c r="D61" s="43"/>
      <c r="E61" s="43"/>
      <c r="F61" s="43"/>
      <c r="G61" s="43"/>
      <c r="H61" s="43"/>
      <c r="I61" s="43"/>
    </row>
    <row r="62" spans="1:9" ht="24" customHeight="1">
      <c r="A62" s="43"/>
      <c r="B62" s="43"/>
      <c r="C62" s="43"/>
      <c r="D62" s="43"/>
      <c r="E62" s="43"/>
      <c r="F62" s="43"/>
      <c r="G62" s="43"/>
      <c r="H62" s="43"/>
      <c r="I62" s="43"/>
    </row>
    <row r="63" spans="1:9" ht="48" customHeight="1">
      <c r="A63" s="43"/>
      <c r="B63" s="43"/>
      <c r="C63" s="43"/>
      <c r="D63" s="43"/>
      <c r="E63" s="43"/>
      <c r="F63" s="43"/>
      <c r="G63" s="43"/>
      <c r="H63" s="43"/>
      <c r="I63" s="43"/>
    </row>
    <row r="64" spans="1:9" ht="24" customHeight="1">
      <c r="A64" s="43"/>
      <c r="B64" s="43"/>
      <c r="C64" s="43"/>
      <c r="D64" s="43"/>
      <c r="E64" s="43"/>
      <c r="F64" s="43"/>
      <c r="G64" s="43"/>
      <c r="H64" s="43"/>
      <c r="I64" s="43"/>
    </row>
    <row r="65" spans="1:9" ht="24" customHeight="1">
      <c r="A65" s="43"/>
      <c r="B65" s="43"/>
      <c r="C65" s="43"/>
      <c r="D65" s="43"/>
      <c r="E65" s="43"/>
      <c r="F65" s="43"/>
      <c r="G65" s="43"/>
      <c r="H65" s="43"/>
      <c r="I65" s="43"/>
    </row>
    <row r="66" spans="1:9" ht="24" customHeight="1">
      <c r="A66" s="43"/>
      <c r="B66" s="43"/>
      <c r="C66" s="43"/>
      <c r="D66" s="43"/>
      <c r="E66" s="43"/>
      <c r="F66" s="43"/>
      <c r="G66" s="43"/>
      <c r="H66" s="43"/>
      <c r="I66" s="43"/>
    </row>
    <row r="67" spans="1:9" ht="24" customHeight="1">
      <c r="A67" s="43"/>
      <c r="B67" s="43"/>
      <c r="C67" s="43"/>
      <c r="D67" s="43"/>
      <c r="E67" s="43"/>
      <c r="F67" s="43"/>
      <c r="G67" s="43"/>
      <c r="H67" s="43"/>
      <c r="I67" s="43"/>
    </row>
    <row r="68" spans="1:9" ht="24" customHeight="1">
      <c r="A68" s="43"/>
      <c r="B68" s="43"/>
      <c r="C68" s="43"/>
      <c r="D68" s="43"/>
      <c r="E68" s="43"/>
      <c r="F68" s="43"/>
      <c r="G68" s="43"/>
      <c r="H68" s="43"/>
      <c r="I68" s="43"/>
    </row>
    <row r="69" spans="1:9" ht="24" customHeight="1">
      <c r="A69" s="43"/>
      <c r="B69" s="43"/>
      <c r="C69" s="43"/>
      <c r="D69" s="43"/>
      <c r="E69" s="43"/>
      <c r="F69" s="43"/>
      <c r="G69" s="43"/>
      <c r="H69" s="43"/>
      <c r="I69" s="43"/>
    </row>
    <row r="70" spans="1:9" ht="24" customHeight="1">
      <c r="A70" s="43"/>
      <c r="B70" s="43"/>
      <c r="C70" s="43"/>
      <c r="D70" s="43"/>
      <c r="E70" s="43"/>
      <c r="F70" s="43"/>
      <c r="G70" s="43"/>
      <c r="H70" s="43"/>
      <c r="I70" s="43"/>
    </row>
    <row r="71" spans="1:9" ht="24" customHeight="1">
      <c r="A71" s="43"/>
      <c r="B71" s="43"/>
      <c r="C71" s="43"/>
      <c r="D71" s="43"/>
      <c r="E71" s="43"/>
      <c r="F71" s="43"/>
      <c r="G71" s="43"/>
      <c r="H71" s="43"/>
      <c r="I71" s="43"/>
    </row>
    <row r="72" spans="1:9" ht="24" customHeight="1">
      <c r="A72" s="43"/>
      <c r="B72" s="43"/>
      <c r="C72" s="43"/>
      <c r="D72" s="43"/>
      <c r="E72" s="43"/>
      <c r="F72" s="43"/>
      <c r="G72" s="43"/>
      <c r="H72" s="43"/>
      <c r="I72" s="43"/>
    </row>
    <row r="73" spans="1:9" ht="24" customHeight="1">
      <c r="A73" s="43"/>
      <c r="B73" s="43"/>
      <c r="C73" s="43"/>
      <c r="D73" s="43"/>
      <c r="E73" s="43"/>
      <c r="F73" s="43"/>
      <c r="G73" s="43"/>
      <c r="H73" s="43"/>
      <c r="I73" s="43"/>
    </row>
    <row r="74" spans="1:9" ht="24" customHeight="1">
      <c r="A74" s="43"/>
      <c r="B74" s="43"/>
      <c r="C74" s="43"/>
      <c r="D74" s="43"/>
      <c r="E74" s="43"/>
      <c r="F74" s="43"/>
      <c r="G74" s="43"/>
      <c r="H74" s="43"/>
      <c r="I74" s="43"/>
    </row>
    <row r="75" spans="1:9" ht="24" customHeight="1">
      <c r="A75" s="43"/>
      <c r="B75" s="43"/>
      <c r="C75" s="43"/>
      <c r="D75" s="43"/>
      <c r="E75" s="43"/>
      <c r="F75" s="43"/>
      <c r="G75" s="43"/>
      <c r="H75" s="43"/>
      <c r="I75" s="43"/>
    </row>
    <row r="76" spans="1:9" ht="24" customHeight="1">
      <c r="A76" s="43"/>
      <c r="B76" s="43"/>
      <c r="C76" s="43"/>
      <c r="D76" s="43"/>
      <c r="E76" s="43"/>
      <c r="F76" s="43"/>
      <c r="G76" s="43"/>
      <c r="H76" s="43"/>
      <c r="I76" s="43"/>
    </row>
    <row r="77" spans="1:9" ht="24" customHeight="1">
      <c r="A77" s="43"/>
      <c r="B77" s="43"/>
      <c r="C77" s="43"/>
      <c r="D77" s="43"/>
      <c r="E77" s="43"/>
      <c r="F77" s="43"/>
      <c r="G77" s="43"/>
      <c r="H77" s="43"/>
      <c r="I77" s="43"/>
    </row>
    <row r="78" spans="1:9" ht="24" customHeight="1">
      <c r="A78" s="43"/>
      <c r="B78" s="43"/>
      <c r="C78" s="43"/>
      <c r="D78" s="43"/>
      <c r="E78" s="43"/>
      <c r="F78" s="43"/>
      <c r="G78" s="43"/>
      <c r="H78" s="43"/>
      <c r="I78" s="43"/>
    </row>
    <row r="79" spans="1:9" ht="24" customHeight="1">
      <c r="A79" s="43"/>
      <c r="B79" s="43"/>
      <c r="C79" s="43"/>
      <c r="D79" s="43"/>
      <c r="E79" s="43"/>
      <c r="F79" s="43"/>
      <c r="G79" s="43"/>
      <c r="H79" s="43"/>
      <c r="I79" s="43"/>
    </row>
    <row r="80" spans="1:9" ht="24" customHeight="1">
      <c r="A80" s="43"/>
      <c r="B80" s="43"/>
      <c r="C80" s="43"/>
      <c r="D80" s="43"/>
      <c r="E80" s="43"/>
      <c r="F80" s="43"/>
      <c r="G80" s="43"/>
      <c r="H80" s="43"/>
      <c r="I80" s="43"/>
    </row>
    <row r="81" spans="1:9" ht="24" customHeight="1">
      <c r="A81" s="43"/>
      <c r="B81" s="43"/>
      <c r="C81" s="43"/>
      <c r="D81" s="43"/>
      <c r="E81" s="43"/>
      <c r="F81" s="43"/>
      <c r="G81" s="43"/>
      <c r="H81" s="43"/>
      <c r="I81" s="43"/>
    </row>
    <row r="82" spans="1:9" ht="24" customHeight="1">
      <c r="A82" s="43"/>
      <c r="B82" s="43"/>
      <c r="C82" s="43"/>
      <c r="D82" s="43"/>
      <c r="E82" s="43"/>
      <c r="F82" s="43"/>
      <c r="G82" s="43"/>
      <c r="H82" s="43"/>
      <c r="I82" s="43"/>
    </row>
    <row r="83" spans="1:9" ht="24" customHeight="1">
      <c r="A83" s="43"/>
      <c r="B83" s="43"/>
      <c r="C83" s="43"/>
      <c r="D83" s="43"/>
      <c r="E83" s="43"/>
      <c r="F83" s="43"/>
      <c r="G83" s="43"/>
      <c r="H83" s="43"/>
      <c r="I83" s="43"/>
    </row>
    <row r="84" spans="1:9" ht="24" customHeight="1">
      <c r="A84" s="43"/>
      <c r="B84" s="43"/>
      <c r="C84" s="43"/>
      <c r="D84" s="43"/>
      <c r="E84" s="43"/>
      <c r="F84" s="43"/>
      <c r="G84" s="43"/>
      <c r="H84" s="43"/>
      <c r="I84" s="43"/>
    </row>
    <row r="85" spans="1:9" ht="24" customHeight="1">
      <c r="A85" s="43"/>
      <c r="B85" s="43"/>
      <c r="C85" s="43"/>
      <c r="D85" s="43"/>
      <c r="E85" s="43"/>
      <c r="F85" s="43"/>
      <c r="G85" s="43"/>
      <c r="H85" s="43"/>
      <c r="I85" s="43"/>
    </row>
    <row r="86" spans="1:9" ht="24" customHeight="1">
      <c r="A86" s="43"/>
      <c r="B86" s="43"/>
      <c r="C86" s="43"/>
      <c r="D86" s="43"/>
      <c r="E86" s="43"/>
      <c r="F86" s="43"/>
      <c r="G86" s="43"/>
      <c r="H86" s="43"/>
      <c r="I86" s="43"/>
    </row>
    <row r="87" spans="1:9" ht="24" customHeight="1">
      <c r="A87" s="43"/>
      <c r="B87" s="43"/>
      <c r="C87" s="43"/>
      <c r="D87" s="43"/>
      <c r="E87" s="43"/>
      <c r="F87" s="43"/>
      <c r="G87" s="43"/>
      <c r="H87" s="43"/>
      <c r="I87" s="43"/>
    </row>
    <row r="88" spans="1:9" ht="24" customHeight="1">
      <c r="A88" s="43"/>
      <c r="B88" s="43"/>
      <c r="C88" s="43"/>
      <c r="D88" s="43"/>
      <c r="E88" s="43"/>
      <c r="F88" s="43"/>
      <c r="G88" s="43"/>
      <c r="H88" s="43"/>
      <c r="I88" s="43"/>
    </row>
    <row r="89" spans="1:9" ht="24" customHeight="1">
      <c r="A89" s="43"/>
      <c r="B89" s="43"/>
      <c r="C89" s="43"/>
      <c r="D89" s="43"/>
      <c r="E89" s="43"/>
      <c r="F89" s="43"/>
      <c r="G89" s="43"/>
      <c r="H89" s="43"/>
      <c r="I89" s="43"/>
    </row>
    <row r="90" spans="1:9" ht="24" customHeight="1">
      <c r="A90" s="43"/>
      <c r="B90" s="43"/>
      <c r="C90" s="43"/>
      <c r="D90" s="43"/>
      <c r="E90" s="43"/>
      <c r="F90" s="43"/>
      <c r="G90" s="43"/>
      <c r="H90" s="43"/>
      <c r="I90" s="43"/>
    </row>
    <row r="91" spans="1:9" ht="24" customHeight="1">
      <c r="A91" s="43"/>
      <c r="B91" s="43"/>
      <c r="C91" s="43"/>
      <c r="D91" s="43"/>
      <c r="E91" s="43"/>
      <c r="F91" s="43"/>
      <c r="G91" s="43"/>
      <c r="H91" s="43"/>
      <c r="I91" s="43"/>
    </row>
    <row r="92" spans="1:9" ht="24" customHeight="1">
      <c r="A92" s="43"/>
      <c r="B92" s="43"/>
      <c r="C92" s="43"/>
      <c r="D92" s="43"/>
      <c r="E92" s="43"/>
      <c r="F92" s="43"/>
      <c r="G92" s="43"/>
      <c r="H92" s="43"/>
      <c r="I92" s="43"/>
    </row>
    <row r="93" spans="1:9" ht="48" customHeight="1">
      <c r="A93" s="43"/>
      <c r="B93" s="43"/>
      <c r="C93" s="43"/>
      <c r="D93" s="43"/>
      <c r="E93" s="43"/>
      <c r="F93" s="43"/>
      <c r="G93" s="43"/>
      <c r="H93" s="43"/>
      <c r="I93" s="43"/>
    </row>
  </sheetData>
  <autoFilter ref="A2:I93"/>
  <mergeCells count="1">
    <mergeCell ref="A1:I1"/>
  </mergeCells>
  <phoneticPr fontId="47" type="noConversion"/>
  <conditionalFormatting sqref="F2">
    <cfRule type="cellIs" dxfId="74" priority="1" operator="equal">
      <formula>"Nok"</formula>
    </cfRule>
    <cfRule type="cellIs" dxfId="73" priority="2" operator="equal">
      <formula>"OK"</formula>
    </cfRule>
  </conditionalFormatting>
  <dataValidations count="1">
    <dataValidation type="list" showErrorMessage="1" errorTitle="输入有误" error="您输入的值不在下拉框列表内。" sqref="F3:F93">
      <formula1>",F0-必须满足,F1-期望满足,F2-期望满足-"</formula1>
    </dataValidation>
  </dataValidations>
  <pageMargins left="0.70866141732283472" right="0.70866141732283472" top="0.74803149606299213" bottom="0.74803149606299213" header="0.31496062992125978" footer="0.31496062992125978"/>
  <pageSetup paperSize="9" orientation="landscape"/>
  <headerFooter>
    <oddHeader>&amp;L&amp;6 &amp;G</oddHeader>
    <oddFooter>&amp;C本文中的所有信息均为深圳市雄帝科技股份有限公司内部信息，不得向外传播。</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171"/>
  <sheetViews>
    <sheetView zoomScaleNormal="100" workbookViewId="0">
      <selection activeCell="C3" sqref="C3"/>
    </sheetView>
  </sheetViews>
  <sheetFormatPr defaultColWidth="9.109375" defaultRowHeight="16.2"/>
  <cols>
    <col min="1" max="1" width="5.109375" style="34" customWidth="1"/>
    <col min="2" max="2" width="6.33203125" style="35" customWidth="1"/>
    <col min="3" max="3" width="6.77734375" style="36" customWidth="1"/>
    <col min="4" max="4" width="15.109375" style="35" customWidth="1"/>
    <col min="5" max="5" width="11" style="35" customWidth="1"/>
    <col min="6" max="6" width="33.77734375" style="33" customWidth="1"/>
    <col min="7" max="7" width="18.6640625" style="33" customWidth="1"/>
    <col min="8" max="8" width="16.21875" style="33" customWidth="1"/>
    <col min="9" max="9" width="5.33203125" style="33" customWidth="1"/>
    <col min="10" max="10" width="6.44140625" style="33" customWidth="1"/>
    <col min="11" max="11" width="9.109375" style="33" customWidth="1"/>
    <col min="12" max="16384" width="9.109375" style="33"/>
  </cols>
  <sheetData>
    <row r="1" spans="1:10" s="32" customFormat="1" ht="19.95" customHeight="1">
      <c r="A1" s="164" t="str">
        <f ca="1">MID(CELL("filename",A2),FIND("]",CELL("filename",A2))+1,255)</f>
        <v>验收测试用例</v>
      </c>
      <c r="B1" s="165"/>
      <c r="C1" s="165"/>
      <c r="D1" s="165"/>
      <c r="E1" s="165"/>
      <c r="F1" s="165"/>
    </row>
    <row r="2" spans="1:10" s="2" customFormat="1" ht="66" customHeight="1">
      <c r="A2" s="5" t="s">
        <v>116</v>
      </c>
      <c r="B2" s="5" t="s">
        <v>81</v>
      </c>
      <c r="C2" s="5" t="s">
        <v>82</v>
      </c>
      <c r="D2" s="5" t="s">
        <v>117</v>
      </c>
      <c r="E2" s="5" t="s">
        <v>118</v>
      </c>
      <c r="F2" s="5" t="s">
        <v>119</v>
      </c>
      <c r="G2" s="5" t="s">
        <v>120</v>
      </c>
      <c r="H2" s="5" t="s">
        <v>121</v>
      </c>
      <c r="I2" s="5" t="s">
        <v>122</v>
      </c>
      <c r="J2" s="5" t="s">
        <v>123</v>
      </c>
    </row>
    <row r="3" spans="1:10" ht="184.95" customHeight="1">
      <c r="A3" s="43">
        <v>87696</v>
      </c>
      <c r="B3" s="43" t="s">
        <v>313</v>
      </c>
      <c r="C3" s="43"/>
      <c r="D3" s="43" t="s">
        <v>952</v>
      </c>
      <c r="E3" s="43"/>
      <c r="F3" s="43" t="s">
        <v>953</v>
      </c>
      <c r="G3" s="43" t="s">
        <v>954</v>
      </c>
      <c r="H3" s="43">
        <v>1</v>
      </c>
      <c r="I3" s="43" t="s">
        <v>124</v>
      </c>
      <c r="J3" s="43">
        <v>1</v>
      </c>
    </row>
    <row r="4" spans="1:10" ht="121.95" customHeight="1">
      <c r="A4" s="43">
        <v>87695</v>
      </c>
      <c r="B4" s="43" t="s">
        <v>313</v>
      </c>
      <c r="C4" s="43"/>
      <c r="D4" s="43" t="s">
        <v>955</v>
      </c>
      <c r="E4" s="43"/>
      <c r="F4" s="43" t="s">
        <v>956</v>
      </c>
      <c r="G4" s="43" t="s">
        <v>957</v>
      </c>
      <c r="H4" s="43" t="s">
        <v>958</v>
      </c>
      <c r="I4" s="43" t="s">
        <v>124</v>
      </c>
      <c r="J4" s="43">
        <v>1</v>
      </c>
    </row>
    <row r="5" spans="1:10" ht="36" customHeight="1">
      <c r="A5" s="43">
        <v>87694</v>
      </c>
      <c r="B5" s="43" t="s">
        <v>313</v>
      </c>
      <c r="C5" s="43"/>
      <c r="D5" s="43" t="s">
        <v>959</v>
      </c>
      <c r="E5" s="43"/>
      <c r="F5" s="43" t="s">
        <v>960</v>
      </c>
      <c r="G5" s="43" t="s">
        <v>961</v>
      </c>
      <c r="H5" s="43" t="s">
        <v>958</v>
      </c>
      <c r="I5" s="43" t="s">
        <v>124</v>
      </c>
      <c r="J5" s="43">
        <v>1</v>
      </c>
    </row>
    <row r="6" spans="1:10" ht="48" customHeight="1">
      <c r="A6" s="43">
        <v>87693</v>
      </c>
      <c r="B6" s="43" t="s">
        <v>313</v>
      </c>
      <c r="C6" s="43"/>
      <c r="D6" s="43" t="s">
        <v>962</v>
      </c>
      <c r="E6" s="43"/>
      <c r="F6" s="43" t="s">
        <v>963</v>
      </c>
      <c r="G6" s="43" t="s">
        <v>964</v>
      </c>
      <c r="H6" s="43" t="s">
        <v>965</v>
      </c>
      <c r="I6" s="43" t="s">
        <v>124</v>
      </c>
      <c r="J6" s="43">
        <v>1</v>
      </c>
    </row>
    <row r="7" spans="1:10" ht="60" customHeight="1">
      <c r="A7" s="43">
        <v>87692</v>
      </c>
      <c r="B7" s="43" t="s">
        <v>313</v>
      </c>
      <c r="C7" s="43"/>
      <c r="D7" s="43" t="s">
        <v>966</v>
      </c>
      <c r="E7" s="43"/>
      <c r="F7" s="43" t="s">
        <v>967</v>
      </c>
      <c r="G7" s="43" t="s">
        <v>968</v>
      </c>
      <c r="H7" s="43" t="s">
        <v>958</v>
      </c>
      <c r="I7" s="43" t="s">
        <v>125</v>
      </c>
      <c r="J7" s="43">
        <v>1</v>
      </c>
    </row>
    <row r="8" spans="1:10" ht="60" customHeight="1">
      <c r="A8" s="43">
        <v>87691</v>
      </c>
      <c r="B8" s="43" t="s">
        <v>313</v>
      </c>
      <c r="C8" s="43"/>
      <c r="D8" s="43" t="s">
        <v>969</v>
      </c>
      <c r="E8" s="43"/>
      <c r="F8" s="43" t="s">
        <v>970</v>
      </c>
      <c r="G8" s="43" t="s">
        <v>971</v>
      </c>
      <c r="H8" s="43" t="s">
        <v>965</v>
      </c>
      <c r="I8" s="43" t="s">
        <v>124</v>
      </c>
      <c r="J8" s="43">
        <v>1</v>
      </c>
    </row>
    <row r="9" spans="1:10" ht="60" customHeight="1">
      <c r="A9" s="43">
        <v>87690</v>
      </c>
      <c r="B9" s="43" t="s">
        <v>313</v>
      </c>
      <c r="C9" s="43"/>
      <c r="D9" s="43" t="s">
        <v>972</v>
      </c>
      <c r="E9" s="43" t="s">
        <v>973</v>
      </c>
      <c r="F9" s="43" t="s">
        <v>974</v>
      </c>
      <c r="G9" s="43" t="s">
        <v>975</v>
      </c>
      <c r="H9" s="43" t="s">
        <v>976</v>
      </c>
      <c r="I9" s="43" t="s">
        <v>124</v>
      </c>
      <c r="J9" s="43">
        <v>2</v>
      </c>
    </row>
    <row r="10" spans="1:10" ht="96" customHeight="1">
      <c r="A10" s="43">
        <v>87689</v>
      </c>
      <c r="B10" s="43" t="s">
        <v>313</v>
      </c>
      <c r="C10" s="43"/>
      <c r="D10" s="43" t="s">
        <v>977</v>
      </c>
      <c r="E10" s="43" t="s">
        <v>973</v>
      </c>
      <c r="F10" s="43" t="s">
        <v>978</v>
      </c>
      <c r="G10" s="43" t="s">
        <v>979</v>
      </c>
      <c r="H10" s="43" t="s">
        <v>976</v>
      </c>
      <c r="I10" s="43" t="s">
        <v>124</v>
      </c>
      <c r="J10" s="43">
        <v>2</v>
      </c>
    </row>
    <row r="11" spans="1:10" ht="96" customHeight="1">
      <c r="A11" s="43">
        <v>87688</v>
      </c>
      <c r="B11" s="43" t="s">
        <v>980</v>
      </c>
      <c r="C11" s="43"/>
      <c r="D11" s="43" t="s">
        <v>981</v>
      </c>
      <c r="E11" s="43" t="s">
        <v>973</v>
      </c>
      <c r="F11" s="43" t="s">
        <v>982</v>
      </c>
      <c r="G11" s="43" t="s">
        <v>983</v>
      </c>
      <c r="H11" s="43" t="s">
        <v>976</v>
      </c>
      <c r="I11" s="43"/>
      <c r="J11" s="43">
        <v>1</v>
      </c>
    </row>
    <row r="12" spans="1:10" ht="48" customHeight="1">
      <c r="A12" s="43">
        <v>87687</v>
      </c>
      <c r="B12" s="43" t="s">
        <v>980</v>
      </c>
      <c r="C12" s="43"/>
      <c r="D12" s="43" t="s">
        <v>984</v>
      </c>
      <c r="E12" s="43" t="s">
        <v>985</v>
      </c>
      <c r="F12" s="43" t="s">
        <v>986</v>
      </c>
      <c r="G12" s="43" t="s">
        <v>987</v>
      </c>
      <c r="H12" s="43" t="s">
        <v>976</v>
      </c>
      <c r="I12" s="43"/>
      <c r="J12" s="43">
        <v>1</v>
      </c>
    </row>
    <row r="13" spans="1:10" ht="36" customHeight="1">
      <c r="A13" s="43">
        <v>87686</v>
      </c>
      <c r="B13" s="43" t="s">
        <v>980</v>
      </c>
      <c r="C13" s="43"/>
      <c r="D13" s="43" t="s">
        <v>988</v>
      </c>
      <c r="E13" s="43" t="s">
        <v>989</v>
      </c>
      <c r="F13" s="43" t="s">
        <v>990</v>
      </c>
      <c r="G13" s="43" t="s">
        <v>991</v>
      </c>
      <c r="H13" s="43" t="s">
        <v>976</v>
      </c>
      <c r="I13" s="43"/>
      <c r="J13" s="43">
        <v>1</v>
      </c>
    </row>
    <row r="14" spans="1:10" ht="132" customHeight="1">
      <c r="A14" s="43">
        <v>87685</v>
      </c>
      <c r="B14" s="43" t="s">
        <v>980</v>
      </c>
      <c r="C14" s="43"/>
      <c r="D14" s="43" t="s">
        <v>992</v>
      </c>
      <c r="E14" s="43" t="s">
        <v>989</v>
      </c>
      <c r="F14" s="43" t="s">
        <v>993</v>
      </c>
      <c r="G14" s="43" t="s">
        <v>994</v>
      </c>
      <c r="H14" s="43" t="s">
        <v>976</v>
      </c>
      <c r="I14" s="43"/>
      <c r="J14" s="43">
        <v>1</v>
      </c>
    </row>
    <row r="15" spans="1:10" s="44" customFormat="1" ht="48.45" customHeight="1">
      <c r="A15" s="43">
        <v>87684</v>
      </c>
      <c r="B15" s="43" t="s">
        <v>980</v>
      </c>
      <c r="C15" s="43"/>
      <c r="D15" s="43" t="s">
        <v>995</v>
      </c>
      <c r="E15" s="43" t="s">
        <v>996</v>
      </c>
      <c r="F15" s="43" t="s">
        <v>997</v>
      </c>
      <c r="G15" s="43" t="s">
        <v>994</v>
      </c>
      <c r="H15" s="43" t="s">
        <v>976</v>
      </c>
      <c r="I15" s="43"/>
      <c r="J15" s="43">
        <v>1</v>
      </c>
    </row>
    <row r="16" spans="1:10" ht="48" customHeight="1">
      <c r="A16" s="43">
        <v>87683</v>
      </c>
      <c r="B16" s="43" t="s">
        <v>883</v>
      </c>
      <c r="C16" s="43"/>
      <c r="D16" s="43" t="s">
        <v>998</v>
      </c>
      <c r="E16" s="43" t="s">
        <v>999</v>
      </c>
      <c r="F16" s="43" t="s">
        <v>1000</v>
      </c>
      <c r="G16" s="43" t="s">
        <v>1001</v>
      </c>
      <c r="H16" s="43" t="s">
        <v>958</v>
      </c>
      <c r="I16" s="43"/>
      <c r="J16" s="43">
        <v>1</v>
      </c>
    </row>
    <row r="17" spans="1:10" ht="36.450000000000003" customHeight="1">
      <c r="A17" s="43">
        <v>87682</v>
      </c>
      <c r="B17" s="43" t="s">
        <v>883</v>
      </c>
      <c r="C17" s="43"/>
      <c r="D17" s="43" t="s">
        <v>1002</v>
      </c>
      <c r="E17" s="43" t="s">
        <v>1003</v>
      </c>
      <c r="F17" s="43" t="s">
        <v>1004</v>
      </c>
      <c r="G17" s="43" t="s">
        <v>1001</v>
      </c>
      <c r="H17" s="43" t="s">
        <v>958</v>
      </c>
      <c r="I17" s="43"/>
      <c r="J17" s="43">
        <v>1</v>
      </c>
    </row>
    <row r="18" spans="1:10" ht="96" customHeight="1">
      <c r="A18" s="43">
        <v>87681</v>
      </c>
      <c r="B18" s="43" t="s">
        <v>883</v>
      </c>
      <c r="C18" s="43"/>
      <c r="D18" s="43" t="s">
        <v>1005</v>
      </c>
      <c r="E18" s="43" t="s">
        <v>1006</v>
      </c>
      <c r="F18" s="43" t="s">
        <v>1007</v>
      </c>
      <c r="G18" s="43" t="s">
        <v>1008</v>
      </c>
      <c r="H18" s="43" t="s">
        <v>958</v>
      </c>
      <c r="I18" s="43"/>
      <c r="J18" s="43">
        <v>1</v>
      </c>
    </row>
    <row r="19" spans="1:10" ht="60" customHeight="1">
      <c r="A19" s="43">
        <v>87680</v>
      </c>
      <c r="B19" s="43" t="s">
        <v>883</v>
      </c>
      <c r="C19" s="43"/>
      <c r="D19" s="43" t="s">
        <v>1009</v>
      </c>
      <c r="E19" s="43" t="s">
        <v>1010</v>
      </c>
      <c r="F19" s="43" t="s">
        <v>1011</v>
      </c>
      <c r="G19" s="43" t="s">
        <v>1012</v>
      </c>
      <c r="H19" s="43" t="s">
        <v>958</v>
      </c>
      <c r="I19" s="43"/>
      <c r="J19" s="43">
        <v>1</v>
      </c>
    </row>
    <row r="20" spans="1:10" ht="72" customHeight="1">
      <c r="A20" s="43">
        <v>87679</v>
      </c>
      <c r="B20" s="43" t="s">
        <v>883</v>
      </c>
      <c r="C20" s="43"/>
      <c r="D20" s="43" t="s">
        <v>1013</v>
      </c>
      <c r="E20" s="43" t="s">
        <v>1014</v>
      </c>
      <c r="F20" s="43" t="s">
        <v>1015</v>
      </c>
      <c r="G20" s="43" t="s">
        <v>1016</v>
      </c>
      <c r="H20" s="43" t="s">
        <v>958</v>
      </c>
      <c r="I20" s="43"/>
      <c r="J20" s="43">
        <v>1</v>
      </c>
    </row>
    <row r="21" spans="1:10" ht="72" customHeight="1">
      <c r="A21" s="43">
        <v>87678</v>
      </c>
      <c r="B21" s="43" t="s">
        <v>883</v>
      </c>
      <c r="C21" s="43"/>
      <c r="D21" s="43" t="s">
        <v>1017</v>
      </c>
      <c r="E21" s="43" t="s">
        <v>1018</v>
      </c>
      <c r="F21" s="43" t="s">
        <v>1019</v>
      </c>
      <c r="G21" s="43" t="s">
        <v>1020</v>
      </c>
      <c r="H21" s="43" t="s">
        <v>958</v>
      </c>
      <c r="I21" s="43"/>
      <c r="J21" s="43">
        <v>1</v>
      </c>
    </row>
    <row r="22" spans="1:10" ht="60" customHeight="1">
      <c r="A22" s="43">
        <v>87677</v>
      </c>
      <c r="B22" s="43" t="s">
        <v>883</v>
      </c>
      <c r="C22" s="43"/>
      <c r="D22" s="43" t="s">
        <v>1021</v>
      </c>
      <c r="E22" s="43" t="s">
        <v>1022</v>
      </c>
      <c r="F22" s="43" t="s">
        <v>1023</v>
      </c>
      <c r="G22" s="43" t="s">
        <v>1001</v>
      </c>
      <c r="H22" s="43" t="s">
        <v>958</v>
      </c>
      <c r="I22" s="43"/>
      <c r="J22" s="43">
        <v>1</v>
      </c>
    </row>
    <row r="23" spans="1:10" ht="60" customHeight="1">
      <c r="A23" s="43">
        <v>87676</v>
      </c>
      <c r="B23" s="43" t="s">
        <v>883</v>
      </c>
      <c r="C23" s="43"/>
      <c r="D23" s="43" t="s">
        <v>1024</v>
      </c>
      <c r="E23" s="43" t="s">
        <v>1025</v>
      </c>
      <c r="F23" s="43" t="s">
        <v>1026</v>
      </c>
      <c r="G23" s="43" t="s">
        <v>1027</v>
      </c>
      <c r="H23" s="43" t="s">
        <v>958</v>
      </c>
      <c r="I23" s="43"/>
      <c r="J23" s="43">
        <v>1</v>
      </c>
    </row>
    <row r="24" spans="1:10" ht="120" customHeight="1">
      <c r="A24" s="43">
        <v>87675</v>
      </c>
      <c r="B24" s="43" t="s">
        <v>313</v>
      </c>
      <c r="C24" s="43"/>
      <c r="D24" s="43" t="s">
        <v>1028</v>
      </c>
      <c r="E24" s="43"/>
      <c r="F24" s="43" t="s">
        <v>1029</v>
      </c>
      <c r="G24" s="43" t="s">
        <v>1030</v>
      </c>
      <c r="H24" s="43" t="s">
        <v>958</v>
      </c>
      <c r="I24" s="43" t="s">
        <v>124</v>
      </c>
      <c r="J24" s="43">
        <v>1</v>
      </c>
    </row>
    <row r="25" spans="1:10" ht="60" customHeight="1">
      <c r="A25" s="43">
        <v>87674</v>
      </c>
      <c r="B25" s="43" t="s">
        <v>313</v>
      </c>
      <c r="C25" s="43"/>
      <c r="D25" s="43" t="s">
        <v>1031</v>
      </c>
      <c r="E25" s="43" t="s">
        <v>1032</v>
      </c>
      <c r="F25" s="43" t="s">
        <v>1033</v>
      </c>
      <c r="G25" s="43" t="s">
        <v>1034</v>
      </c>
      <c r="H25" s="43">
        <v>1</v>
      </c>
      <c r="I25" s="43" t="s">
        <v>124</v>
      </c>
      <c r="J25" s="43">
        <v>1</v>
      </c>
    </row>
    <row r="26" spans="1:10" ht="120" customHeight="1">
      <c r="A26" s="43">
        <v>87673</v>
      </c>
      <c r="B26" s="43" t="s">
        <v>313</v>
      </c>
      <c r="C26" s="43"/>
      <c r="D26" s="43" t="s">
        <v>1035</v>
      </c>
      <c r="E26" s="43" t="s">
        <v>1032</v>
      </c>
      <c r="F26" s="43" t="s">
        <v>1033</v>
      </c>
      <c r="G26" s="43" t="s">
        <v>1036</v>
      </c>
      <c r="H26" s="43">
        <v>1</v>
      </c>
      <c r="I26" s="43" t="s">
        <v>124</v>
      </c>
      <c r="J26" s="43">
        <v>1</v>
      </c>
    </row>
    <row r="27" spans="1:10" ht="60" customHeight="1">
      <c r="A27" s="43">
        <v>87672</v>
      </c>
      <c r="B27" s="43" t="s">
        <v>313</v>
      </c>
      <c r="C27" s="43"/>
      <c r="D27" s="43" t="s">
        <v>1037</v>
      </c>
      <c r="E27" s="43" t="s">
        <v>1032</v>
      </c>
      <c r="F27" s="43" t="s">
        <v>1033</v>
      </c>
      <c r="G27" s="43" t="s">
        <v>1038</v>
      </c>
      <c r="H27" s="43">
        <v>1</v>
      </c>
      <c r="I27" s="43" t="s">
        <v>124</v>
      </c>
      <c r="J27" s="43">
        <v>1</v>
      </c>
    </row>
    <row r="28" spans="1:10" ht="72" customHeight="1">
      <c r="A28" s="43">
        <v>87671</v>
      </c>
      <c r="B28" s="43" t="s">
        <v>313</v>
      </c>
      <c r="C28" s="43"/>
      <c r="D28" s="43" t="s">
        <v>1039</v>
      </c>
      <c r="E28" s="43" t="s">
        <v>1040</v>
      </c>
      <c r="F28" s="43" t="s">
        <v>1041</v>
      </c>
      <c r="G28" s="43" t="s">
        <v>1042</v>
      </c>
      <c r="H28" s="43" t="s">
        <v>958</v>
      </c>
      <c r="I28" s="43" t="s">
        <v>124</v>
      </c>
      <c r="J28" s="43">
        <v>1</v>
      </c>
    </row>
    <row r="29" spans="1:10" ht="108" customHeight="1">
      <c r="A29" s="43">
        <v>87670</v>
      </c>
      <c r="B29" s="43" t="s">
        <v>313</v>
      </c>
      <c r="C29" s="43"/>
      <c r="D29" s="43" t="s">
        <v>1043</v>
      </c>
      <c r="E29" s="43" t="s">
        <v>1040</v>
      </c>
      <c r="F29" s="43" t="s">
        <v>1044</v>
      </c>
      <c r="G29" s="43" t="s">
        <v>1042</v>
      </c>
      <c r="H29" s="43" t="s">
        <v>1045</v>
      </c>
      <c r="I29" s="43" t="s">
        <v>125</v>
      </c>
      <c r="J29" s="43">
        <v>1</v>
      </c>
    </row>
    <row r="30" spans="1:10" ht="60" customHeight="1">
      <c r="A30" s="43">
        <v>87669</v>
      </c>
      <c r="B30" s="43" t="s">
        <v>313</v>
      </c>
      <c r="C30" s="43"/>
      <c r="D30" s="43" t="s">
        <v>1046</v>
      </c>
      <c r="E30" s="43" t="s">
        <v>1047</v>
      </c>
      <c r="F30" s="43" t="s">
        <v>1048</v>
      </c>
      <c r="G30" s="43" t="s">
        <v>1049</v>
      </c>
      <c r="H30" s="43" t="s">
        <v>958</v>
      </c>
      <c r="I30" s="43" t="s">
        <v>124</v>
      </c>
      <c r="J30" s="43">
        <v>1</v>
      </c>
    </row>
    <row r="31" spans="1:10" ht="60" customHeight="1">
      <c r="A31" s="43">
        <v>87668</v>
      </c>
      <c r="B31" s="43" t="s">
        <v>313</v>
      </c>
      <c r="C31" s="43"/>
      <c r="D31" s="43" t="s">
        <v>1050</v>
      </c>
      <c r="E31" s="43" t="s">
        <v>1047</v>
      </c>
      <c r="F31" s="43" t="s">
        <v>1051</v>
      </c>
      <c r="G31" s="43" t="s">
        <v>1052</v>
      </c>
      <c r="H31" s="43" t="s">
        <v>958</v>
      </c>
      <c r="I31" s="43" t="s">
        <v>124</v>
      </c>
      <c r="J31" s="43">
        <v>1</v>
      </c>
    </row>
    <row r="32" spans="1:10" ht="60" customHeight="1">
      <c r="A32" s="43">
        <v>87667</v>
      </c>
      <c r="B32" s="43" t="s">
        <v>313</v>
      </c>
      <c r="C32" s="43"/>
      <c r="D32" s="43" t="s">
        <v>1053</v>
      </c>
      <c r="E32" s="43" t="s">
        <v>1054</v>
      </c>
      <c r="F32" s="43" t="s">
        <v>1055</v>
      </c>
      <c r="G32" s="43" t="s">
        <v>1056</v>
      </c>
      <c r="H32" s="43" t="s">
        <v>965</v>
      </c>
      <c r="I32" s="43" t="s">
        <v>124</v>
      </c>
      <c r="J32" s="43">
        <v>1</v>
      </c>
    </row>
    <row r="33" spans="1:10" ht="60" customHeight="1">
      <c r="A33" s="43">
        <v>87666</v>
      </c>
      <c r="B33" s="43" t="s">
        <v>313</v>
      </c>
      <c r="C33" s="43"/>
      <c r="D33" s="43" t="s">
        <v>1057</v>
      </c>
      <c r="E33" s="43" t="s">
        <v>1054</v>
      </c>
      <c r="F33" s="43" t="s">
        <v>1058</v>
      </c>
      <c r="G33" s="43" t="s">
        <v>1059</v>
      </c>
      <c r="H33" s="43" t="s">
        <v>965</v>
      </c>
      <c r="I33" s="43" t="s">
        <v>124</v>
      </c>
      <c r="J33" s="43">
        <v>1</v>
      </c>
    </row>
    <row r="34" spans="1:10" ht="60" customHeight="1">
      <c r="A34" s="43">
        <v>87665</v>
      </c>
      <c r="B34" s="43" t="s">
        <v>313</v>
      </c>
      <c r="C34" s="43"/>
      <c r="D34" s="43" t="s">
        <v>1060</v>
      </c>
      <c r="E34" s="43" t="s">
        <v>1054</v>
      </c>
      <c r="F34" s="43" t="s">
        <v>1061</v>
      </c>
      <c r="G34" s="43" t="s">
        <v>1062</v>
      </c>
      <c r="H34" s="43" t="s">
        <v>965</v>
      </c>
      <c r="I34" s="43" t="s">
        <v>124</v>
      </c>
      <c r="J34" s="43">
        <v>1</v>
      </c>
    </row>
    <row r="35" spans="1:10" ht="144" customHeight="1">
      <c r="A35" s="43">
        <v>87664</v>
      </c>
      <c r="B35" s="43" t="s">
        <v>313</v>
      </c>
      <c r="C35" s="43"/>
      <c r="D35" s="43" t="s">
        <v>1063</v>
      </c>
      <c r="E35" s="43" t="s">
        <v>1054</v>
      </c>
      <c r="F35" s="43" t="s">
        <v>1061</v>
      </c>
      <c r="G35" s="43" t="s">
        <v>1064</v>
      </c>
      <c r="H35" s="43" t="s">
        <v>965</v>
      </c>
      <c r="I35" s="43" t="s">
        <v>124</v>
      </c>
      <c r="J35" s="43">
        <v>1</v>
      </c>
    </row>
    <row r="36" spans="1:10" ht="72" customHeight="1">
      <c r="A36" s="43">
        <v>87663</v>
      </c>
      <c r="B36" s="43" t="s">
        <v>313</v>
      </c>
      <c r="C36" s="43"/>
      <c r="D36" s="43" t="s">
        <v>1065</v>
      </c>
      <c r="E36" s="43" t="s">
        <v>1054</v>
      </c>
      <c r="F36" s="43" t="s">
        <v>1066</v>
      </c>
      <c r="G36" s="43" t="s">
        <v>1067</v>
      </c>
      <c r="H36" s="43" t="s">
        <v>965</v>
      </c>
      <c r="I36" s="43" t="s">
        <v>124</v>
      </c>
      <c r="J36" s="43">
        <v>1</v>
      </c>
    </row>
    <row r="37" spans="1:10" ht="72" customHeight="1">
      <c r="A37" s="43">
        <v>87662</v>
      </c>
      <c r="B37" s="43" t="s">
        <v>313</v>
      </c>
      <c r="C37" s="43"/>
      <c r="D37" s="43" t="s">
        <v>1068</v>
      </c>
      <c r="E37" s="43" t="s">
        <v>1054</v>
      </c>
      <c r="F37" s="43" t="s">
        <v>1069</v>
      </c>
      <c r="G37" s="43" t="s">
        <v>1070</v>
      </c>
      <c r="H37" s="43" t="s">
        <v>965</v>
      </c>
      <c r="I37" s="43" t="s">
        <v>124</v>
      </c>
      <c r="J37" s="43">
        <v>1</v>
      </c>
    </row>
    <row r="38" spans="1:10" ht="60" customHeight="1">
      <c r="A38" s="43">
        <v>87661</v>
      </c>
      <c r="B38" s="43" t="s">
        <v>313</v>
      </c>
      <c r="C38" s="43"/>
      <c r="D38" s="43" t="s">
        <v>1071</v>
      </c>
      <c r="E38" s="43" t="s">
        <v>1054</v>
      </c>
      <c r="F38" s="43" t="s">
        <v>1072</v>
      </c>
      <c r="G38" s="43" t="s">
        <v>1073</v>
      </c>
      <c r="H38" s="43" t="s">
        <v>976</v>
      </c>
      <c r="I38" s="43" t="s">
        <v>124</v>
      </c>
      <c r="J38" s="43">
        <v>1</v>
      </c>
    </row>
    <row r="39" spans="1:10" ht="60" customHeight="1">
      <c r="A39" s="43">
        <v>87660</v>
      </c>
      <c r="B39" s="43" t="s">
        <v>313</v>
      </c>
      <c r="C39" s="43"/>
      <c r="D39" s="43" t="s">
        <v>1074</v>
      </c>
      <c r="E39" s="43" t="s">
        <v>1054</v>
      </c>
      <c r="F39" s="43" t="s">
        <v>1075</v>
      </c>
      <c r="G39" s="43" t="s">
        <v>1076</v>
      </c>
      <c r="H39" s="43" t="s">
        <v>976</v>
      </c>
      <c r="I39" s="43" t="s">
        <v>124</v>
      </c>
      <c r="J39" s="43">
        <v>1</v>
      </c>
    </row>
    <row r="40" spans="1:10" ht="60" customHeight="1">
      <c r="A40" s="43">
        <v>87659</v>
      </c>
      <c r="B40" s="43" t="s">
        <v>313</v>
      </c>
      <c r="C40" s="43"/>
      <c r="D40" s="43" t="s">
        <v>1077</v>
      </c>
      <c r="E40" s="43" t="s">
        <v>1054</v>
      </c>
      <c r="F40" s="43" t="s">
        <v>1078</v>
      </c>
      <c r="G40" s="43" t="s">
        <v>1079</v>
      </c>
      <c r="H40" s="43">
        <v>1</v>
      </c>
      <c r="I40" s="43" t="s">
        <v>124</v>
      </c>
      <c r="J40" s="43">
        <v>1</v>
      </c>
    </row>
    <row r="41" spans="1:10" ht="60" customHeight="1">
      <c r="A41" s="43">
        <v>87658</v>
      </c>
      <c r="B41" s="43" t="s">
        <v>313</v>
      </c>
      <c r="C41" s="43"/>
      <c r="D41" s="43" t="s">
        <v>1080</v>
      </c>
      <c r="E41" s="43" t="s">
        <v>1054</v>
      </c>
      <c r="F41" s="43" t="s">
        <v>1081</v>
      </c>
      <c r="G41" s="43" t="s">
        <v>1082</v>
      </c>
      <c r="H41" s="43" t="s">
        <v>965</v>
      </c>
      <c r="I41" s="43" t="s">
        <v>124</v>
      </c>
      <c r="J41" s="43">
        <v>1</v>
      </c>
    </row>
    <row r="42" spans="1:10" ht="85.05" customHeight="1">
      <c r="A42" s="43">
        <v>87657</v>
      </c>
      <c r="B42" s="43" t="s">
        <v>313</v>
      </c>
      <c r="C42" s="43"/>
      <c r="D42" s="43" t="s">
        <v>1083</v>
      </c>
      <c r="E42" s="43" t="s">
        <v>1054</v>
      </c>
      <c r="F42" s="43" t="s">
        <v>1084</v>
      </c>
      <c r="G42" s="43" t="s">
        <v>1082</v>
      </c>
      <c r="H42" s="43" t="s">
        <v>965</v>
      </c>
      <c r="I42" s="43" t="s">
        <v>124</v>
      </c>
      <c r="J42" s="43">
        <v>1</v>
      </c>
    </row>
    <row r="43" spans="1:10" ht="60" customHeight="1">
      <c r="A43" s="43">
        <v>87656</v>
      </c>
      <c r="B43" s="43" t="s">
        <v>313</v>
      </c>
      <c r="C43" s="43"/>
      <c r="D43" s="43" t="s">
        <v>1085</v>
      </c>
      <c r="E43" s="43" t="s">
        <v>1054</v>
      </c>
      <c r="F43" s="43" t="s">
        <v>1086</v>
      </c>
      <c r="G43" s="43" t="s">
        <v>1087</v>
      </c>
      <c r="H43" s="43" t="s">
        <v>958</v>
      </c>
      <c r="I43" s="43" t="s">
        <v>124</v>
      </c>
      <c r="J43" s="43">
        <v>1</v>
      </c>
    </row>
    <row r="44" spans="1:10" ht="60" customHeight="1">
      <c r="A44" s="43">
        <v>87655</v>
      </c>
      <c r="B44" s="43" t="s">
        <v>313</v>
      </c>
      <c r="C44" s="43"/>
      <c r="D44" s="43" t="s">
        <v>1088</v>
      </c>
      <c r="E44" s="43" t="s">
        <v>1054</v>
      </c>
      <c r="F44" s="43" t="s">
        <v>1089</v>
      </c>
      <c r="G44" s="43" t="s">
        <v>1090</v>
      </c>
      <c r="H44" s="43" t="s">
        <v>958</v>
      </c>
      <c r="I44" s="43" t="s">
        <v>124</v>
      </c>
      <c r="J44" s="43">
        <v>1</v>
      </c>
    </row>
    <row r="45" spans="1:10" ht="84" customHeight="1">
      <c r="A45" s="43">
        <v>87654</v>
      </c>
      <c r="B45" s="43" t="s">
        <v>313</v>
      </c>
      <c r="C45" s="43"/>
      <c r="D45" s="43" t="s">
        <v>1091</v>
      </c>
      <c r="E45" s="43" t="s">
        <v>1054</v>
      </c>
      <c r="F45" s="43" t="s">
        <v>1092</v>
      </c>
      <c r="G45" s="43" t="s">
        <v>1093</v>
      </c>
      <c r="H45" s="43" t="s">
        <v>958</v>
      </c>
      <c r="I45" s="43" t="s">
        <v>124</v>
      </c>
      <c r="J45" s="43">
        <v>1</v>
      </c>
    </row>
    <row r="46" spans="1:10" ht="300" customHeight="1">
      <c r="A46" s="43">
        <v>87653</v>
      </c>
      <c r="B46" s="43" t="s">
        <v>313</v>
      </c>
      <c r="C46" s="43"/>
      <c r="D46" s="43" t="s">
        <v>1094</v>
      </c>
      <c r="E46" s="43" t="s">
        <v>1054</v>
      </c>
      <c r="F46" s="43" t="s">
        <v>1095</v>
      </c>
      <c r="G46" s="43" t="s">
        <v>1096</v>
      </c>
      <c r="H46" s="43">
        <v>1</v>
      </c>
      <c r="I46" s="43" t="s">
        <v>124</v>
      </c>
      <c r="J46" s="43">
        <v>1</v>
      </c>
    </row>
    <row r="47" spans="1:10" ht="37.5" customHeight="1">
      <c r="A47" s="43">
        <v>87652</v>
      </c>
      <c r="B47" s="43" t="s">
        <v>313</v>
      </c>
      <c r="C47" s="43"/>
      <c r="D47" s="43" t="s">
        <v>1097</v>
      </c>
      <c r="E47" s="43" t="s">
        <v>1047</v>
      </c>
      <c r="F47" s="43" t="s">
        <v>1098</v>
      </c>
      <c r="G47" s="43" t="s">
        <v>1099</v>
      </c>
      <c r="H47" s="43" t="s">
        <v>958</v>
      </c>
      <c r="I47" s="43" t="s">
        <v>124</v>
      </c>
      <c r="J47" s="43">
        <v>1</v>
      </c>
    </row>
    <row r="48" spans="1:10" ht="37.049999999999997" customHeight="1">
      <c r="A48" s="43">
        <v>87651</v>
      </c>
      <c r="B48" s="43" t="s">
        <v>313</v>
      </c>
      <c r="C48" s="43"/>
      <c r="D48" s="43" t="s">
        <v>1100</v>
      </c>
      <c r="E48" s="43" t="s">
        <v>1047</v>
      </c>
      <c r="F48" s="43" t="s">
        <v>1101</v>
      </c>
      <c r="G48" s="43" t="s">
        <v>1102</v>
      </c>
      <c r="H48" s="43" t="s">
        <v>958</v>
      </c>
      <c r="I48" s="43" t="s">
        <v>124</v>
      </c>
      <c r="J48" s="43">
        <v>1</v>
      </c>
    </row>
    <row r="49" spans="1:10" ht="36" customHeight="1">
      <c r="A49" s="43">
        <v>87650</v>
      </c>
      <c r="B49" s="43" t="s">
        <v>313</v>
      </c>
      <c r="C49" s="43"/>
      <c r="D49" s="43" t="s">
        <v>1103</v>
      </c>
      <c r="E49" s="43" t="s">
        <v>1047</v>
      </c>
      <c r="F49" s="43" t="s">
        <v>1104</v>
      </c>
      <c r="G49" s="43" t="s">
        <v>1105</v>
      </c>
      <c r="H49" s="43" t="s">
        <v>976</v>
      </c>
      <c r="I49" s="43"/>
      <c r="J49" s="43">
        <v>1</v>
      </c>
    </row>
    <row r="50" spans="1:10" ht="36" customHeight="1">
      <c r="A50" s="43">
        <v>87649</v>
      </c>
      <c r="B50" s="43" t="s">
        <v>313</v>
      </c>
      <c r="C50" s="43"/>
      <c r="D50" s="43" t="s">
        <v>1106</v>
      </c>
      <c r="E50" s="43" t="s">
        <v>1047</v>
      </c>
      <c r="F50" s="43" t="s">
        <v>1107</v>
      </c>
      <c r="G50" s="43" t="s">
        <v>1108</v>
      </c>
      <c r="H50" s="43" t="s">
        <v>976</v>
      </c>
      <c r="I50" s="43"/>
      <c r="J50" s="43">
        <v>1</v>
      </c>
    </row>
    <row r="51" spans="1:10" ht="36" customHeight="1">
      <c r="A51" s="43">
        <v>87648</v>
      </c>
      <c r="B51" s="43" t="s">
        <v>313</v>
      </c>
      <c r="C51" s="43"/>
      <c r="D51" s="43" t="s">
        <v>1109</v>
      </c>
      <c r="E51" s="43" t="s">
        <v>1047</v>
      </c>
      <c r="F51" s="43" t="s">
        <v>1110</v>
      </c>
      <c r="G51" s="43" t="s">
        <v>1111</v>
      </c>
      <c r="H51" s="43" t="s">
        <v>958</v>
      </c>
      <c r="I51" s="43"/>
      <c r="J51" s="43">
        <v>1</v>
      </c>
    </row>
    <row r="52" spans="1:10" ht="48" customHeight="1">
      <c r="A52" s="43">
        <v>87647</v>
      </c>
      <c r="B52" s="43" t="s">
        <v>313</v>
      </c>
      <c r="C52" s="43"/>
      <c r="D52" s="43" t="s">
        <v>1112</v>
      </c>
      <c r="E52" s="43" t="s">
        <v>1113</v>
      </c>
      <c r="F52" s="43" t="s">
        <v>1114</v>
      </c>
      <c r="G52" s="43" t="s">
        <v>1115</v>
      </c>
      <c r="H52" s="43" t="s">
        <v>965</v>
      </c>
      <c r="I52" s="43"/>
      <c r="J52" s="43">
        <v>1</v>
      </c>
    </row>
    <row r="53" spans="1:10" ht="264" customHeight="1">
      <c r="A53" s="43">
        <v>87646</v>
      </c>
      <c r="B53" s="43" t="s">
        <v>313</v>
      </c>
      <c r="C53" s="43"/>
      <c r="D53" s="43" t="s">
        <v>1116</v>
      </c>
      <c r="E53" s="43" t="s">
        <v>1047</v>
      </c>
      <c r="F53" s="43" t="s">
        <v>1117</v>
      </c>
      <c r="G53" s="43" t="s">
        <v>1118</v>
      </c>
      <c r="H53" s="43" t="s">
        <v>965</v>
      </c>
      <c r="I53" s="43" t="s">
        <v>124</v>
      </c>
      <c r="J53" s="43">
        <v>1</v>
      </c>
    </row>
    <row r="54" spans="1:10" ht="36" customHeight="1">
      <c r="A54" s="43">
        <v>87645</v>
      </c>
      <c r="B54" s="43" t="s">
        <v>313</v>
      </c>
      <c r="C54" s="43"/>
      <c r="D54" s="43" t="s">
        <v>1119</v>
      </c>
      <c r="E54" s="43" t="s">
        <v>1047</v>
      </c>
      <c r="F54" s="43" t="s">
        <v>1120</v>
      </c>
      <c r="G54" s="43" t="s">
        <v>1121</v>
      </c>
      <c r="H54" s="43" t="s">
        <v>958</v>
      </c>
      <c r="I54" s="43" t="s">
        <v>124</v>
      </c>
      <c r="J54" s="43">
        <v>1</v>
      </c>
    </row>
    <row r="55" spans="1:10" ht="36" customHeight="1">
      <c r="A55" s="43">
        <v>87644</v>
      </c>
      <c r="B55" s="43" t="s">
        <v>313</v>
      </c>
      <c r="C55" s="43"/>
      <c r="D55" s="43" t="s">
        <v>1122</v>
      </c>
      <c r="E55" s="43" t="s">
        <v>1123</v>
      </c>
      <c r="F55" s="43" t="s">
        <v>1124</v>
      </c>
      <c r="G55" s="43" t="s">
        <v>1125</v>
      </c>
      <c r="H55" s="43" t="s">
        <v>965</v>
      </c>
      <c r="I55" s="43" t="s">
        <v>124</v>
      </c>
      <c r="J55" s="43">
        <v>1</v>
      </c>
    </row>
    <row r="56" spans="1:10" ht="48" customHeight="1">
      <c r="A56" s="43">
        <v>87643</v>
      </c>
      <c r="B56" s="43" t="s">
        <v>313</v>
      </c>
      <c r="C56" s="43"/>
      <c r="D56" s="43" t="s">
        <v>1126</v>
      </c>
      <c r="E56" s="43" t="s">
        <v>1123</v>
      </c>
      <c r="F56" s="43" t="s">
        <v>1127</v>
      </c>
      <c r="G56" s="43" t="s">
        <v>1128</v>
      </c>
      <c r="H56" s="43" t="s">
        <v>965</v>
      </c>
      <c r="I56" s="43" t="s">
        <v>124</v>
      </c>
      <c r="J56" s="43">
        <v>1</v>
      </c>
    </row>
    <row r="57" spans="1:10" ht="48" customHeight="1">
      <c r="A57" s="43">
        <v>87642</v>
      </c>
      <c r="B57" s="43" t="s">
        <v>313</v>
      </c>
      <c r="C57" s="43"/>
      <c r="D57" s="43" t="s">
        <v>1129</v>
      </c>
      <c r="E57" s="43" t="s">
        <v>1123</v>
      </c>
      <c r="F57" s="43" t="s">
        <v>1130</v>
      </c>
      <c r="G57" s="43" t="s">
        <v>1131</v>
      </c>
      <c r="H57" s="43" t="s">
        <v>965</v>
      </c>
      <c r="I57" s="43" t="s">
        <v>124</v>
      </c>
      <c r="J57" s="43">
        <v>1</v>
      </c>
    </row>
    <row r="58" spans="1:10" ht="48" customHeight="1">
      <c r="A58" s="43">
        <v>87641</v>
      </c>
      <c r="B58" s="43" t="s">
        <v>313</v>
      </c>
      <c r="C58" s="43"/>
      <c r="D58" s="43" t="s">
        <v>1132</v>
      </c>
      <c r="E58" s="43" t="s">
        <v>1047</v>
      </c>
      <c r="F58" s="43" t="s">
        <v>1133</v>
      </c>
      <c r="G58" s="43" t="s">
        <v>1134</v>
      </c>
      <c r="H58" s="43" t="s">
        <v>958</v>
      </c>
      <c r="I58" s="43" t="s">
        <v>124</v>
      </c>
      <c r="J58" s="43">
        <v>1</v>
      </c>
    </row>
    <row r="59" spans="1:10" ht="48" customHeight="1">
      <c r="A59" s="43">
        <v>87640</v>
      </c>
      <c r="B59" s="43" t="s">
        <v>313</v>
      </c>
      <c r="C59" s="43"/>
      <c r="D59" s="43" t="s">
        <v>1135</v>
      </c>
      <c r="E59" s="43" t="s">
        <v>1047</v>
      </c>
      <c r="F59" s="43" t="s">
        <v>1136</v>
      </c>
      <c r="G59" s="43" t="s">
        <v>1137</v>
      </c>
      <c r="H59" s="43" t="s">
        <v>958</v>
      </c>
      <c r="I59" s="43" t="s">
        <v>124</v>
      </c>
      <c r="J59" s="43">
        <v>1</v>
      </c>
    </row>
    <row r="60" spans="1:10" ht="48" customHeight="1">
      <c r="A60" s="43">
        <v>87639</v>
      </c>
      <c r="B60" s="43" t="s">
        <v>313</v>
      </c>
      <c r="C60" s="43"/>
      <c r="D60" s="43" t="s">
        <v>1138</v>
      </c>
      <c r="E60" s="43" t="s">
        <v>1047</v>
      </c>
      <c r="F60" s="43" t="s">
        <v>1139</v>
      </c>
      <c r="G60" s="43" t="s">
        <v>1140</v>
      </c>
      <c r="H60" s="43" t="s">
        <v>958</v>
      </c>
      <c r="I60" s="43" t="s">
        <v>124</v>
      </c>
      <c r="J60" s="43">
        <v>1</v>
      </c>
    </row>
    <row r="61" spans="1:10" ht="48" customHeight="1">
      <c r="A61" s="43">
        <v>87638</v>
      </c>
      <c r="B61" s="43" t="s">
        <v>313</v>
      </c>
      <c r="C61" s="43"/>
      <c r="D61" s="43" t="s">
        <v>1141</v>
      </c>
      <c r="E61" s="43" t="s">
        <v>1142</v>
      </c>
      <c r="F61" s="43" t="s">
        <v>1143</v>
      </c>
      <c r="G61" s="43" t="s">
        <v>1144</v>
      </c>
      <c r="H61" s="43" t="s">
        <v>965</v>
      </c>
      <c r="I61" s="43" t="s">
        <v>124</v>
      </c>
      <c r="J61" s="43">
        <v>1</v>
      </c>
    </row>
    <row r="62" spans="1:10" ht="48" customHeight="1">
      <c r="A62" s="43">
        <v>87637</v>
      </c>
      <c r="B62" s="43" t="s">
        <v>313</v>
      </c>
      <c r="C62" s="43"/>
      <c r="D62" s="43" t="s">
        <v>1145</v>
      </c>
      <c r="E62" s="43" t="s">
        <v>1146</v>
      </c>
      <c r="F62" s="43" t="s">
        <v>1147</v>
      </c>
      <c r="G62" s="43" t="s">
        <v>1148</v>
      </c>
      <c r="H62" s="43" t="s">
        <v>965</v>
      </c>
      <c r="I62" s="43" t="s">
        <v>124</v>
      </c>
      <c r="J62" s="43">
        <v>1</v>
      </c>
    </row>
    <row r="63" spans="1:10" ht="48" customHeight="1">
      <c r="A63" s="43">
        <v>87636</v>
      </c>
      <c r="B63" s="43" t="s">
        <v>313</v>
      </c>
      <c r="C63" s="43"/>
      <c r="D63" s="43" t="s">
        <v>1149</v>
      </c>
      <c r="E63" s="43" t="s">
        <v>1146</v>
      </c>
      <c r="F63" s="43" t="s">
        <v>1150</v>
      </c>
      <c r="G63" s="43" t="s">
        <v>1151</v>
      </c>
      <c r="H63" s="43" t="s">
        <v>958</v>
      </c>
      <c r="I63" s="43" t="s">
        <v>124</v>
      </c>
      <c r="J63" s="43">
        <v>1</v>
      </c>
    </row>
    <row r="64" spans="1:10" ht="49.95" customHeight="1">
      <c r="A64" s="43">
        <v>87635</v>
      </c>
      <c r="B64" s="43" t="s">
        <v>313</v>
      </c>
      <c r="C64" s="43"/>
      <c r="D64" s="43" t="s">
        <v>1152</v>
      </c>
      <c r="E64" s="43" t="s">
        <v>1153</v>
      </c>
      <c r="F64" s="43" t="s">
        <v>1154</v>
      </c>
      <c r="G64" s="43" t="s">
        <v>1155</v>
      </c>
      <c r="H64" s="43" t="s">
        <v>976</v>
      </c>
      <c r="I64" s="43" t="s">
        <v>124</v>
      </c>
      <c r="J64" s="43">
        <v>1</v>
      </c>
    </row>
    <row r="65" spans="1:10" ht="48" customHeight="1">
      <c r="A65" s="43">
        <v>87634</v>
      </c>
      <c r="B65" s="43" t="s">
        <v>313</v>
      </c>
      <c r="C65" s="43"/>
      <c r="D65" s="43" t="s">
        <v>1156</v>
      </c>
      <c r="E65" s="43" t="s">
        <v>1153</v>
      </c>
      <c r="F65" s="43" t="s">
        <v>1157</v>
      </c>
      <c r="G65" s="43" t="s">
        <v>1158</v>
      </c>
      <c r="H65" s="43" t="s">
        <v>976</v>
      </c>
      <c r="I65" s="43" t="s">
        <v>124</v>
      </c>
      <c r="J65" s="43">
        <v>1</v>
      </c>
    </row>
    <row r="66" spans="1:10" ht="48" customHeight="1">
      <c r="A66" s="43">
        <v>87160</v>
      </c>
      <c r="B66" s="43" t="s">
        <v>313</v>
      </c>
      <c r="C66" s="43"/>
      <c r="D66" s="43" t="s">
        <v>1159</v>
      </c>
      <c r="E66" s="43"/>
      <c r="F66" s="43" t="s">
        <v>1160</v>
      </c>
      <c r="G66" s="43" t="s">
        <v>1161</v>
      </c>
      <c r="H66" s="43">
        <v>1</v>
      </c>
      <c r="I66" s="43" t="s">
        <v>124</v>
      </c>
      <c r="J66" s="43">
        <v>2</v>
      </c>
    </row>
    <row r="67" spans="1:10" ht="49.5" customHeight="1">
      <c r="A67" s="43">
        <v>87141</v>
      </c>
      <c r="B67" s="43" t="s">
        <v>980</v>
      </c>
      <c r="C67" s="43"/>
      <c r="D67" s="43" t="s">
        <v>1162</v>
      </c>
      <c r="E67" s="43" t="s">
        <v>1163</v>
      </c>
      <c r="F67" s="43" t="s">
        <v>1164</v>
      </c>
      <c r="G67" s="43" t="s">
        <v>1165</v>
      </c>
      <c r="H67" s="43">
        <v>1</v>
      </c>
      <c r="I67" s="43"/>
      <c r="J67" s="43">
        <v>1</v>
      </c>
    </row>
    <row r="68" spans="1:10" ht="48" customHeight="1">
      <c r="A68" s="43">
        <v>87140</v>
      </c>
      <c r="B68" s="43" t="s">
        <v>980</v>
      </c>
      <c r="C68" s="43"/>
      <c r="D68" s="43" t="s">
        <v>1166</v>
      </c>
      <c r="E68" s="43" t="s">
        <v>1167</v>
      </c>
      <c r="F68" s="43" t="s">
        <v>1168</v>
      </c>
      <c r="G68" s="43" t="s">
        <v>1169</v>
      </c>
      <c r="H68" s="43">
        <v>1</v>
      </c>
      <c r="I68" s="43"/>
      <c r="J68" s="43">
        <v>1</v>
      </c>
    </row>
    <row r="69" spans="1:10" ht="48" customHeight="1">
      <c r="A69" s="43">
        <v>87139</v>
      </c>
      <c r="B69" s="43" t="s">
        <v>313</v>
      </c>
      <c r="C69" s="43" t="s">
        <v>1170</v>
      </c>
      <c r="D69" s="43" t="s">
        <v>1171</v>
      </c>
      <c r="E69" s="43"/>
      <c r="F69" s="43" t="s">
        <v>1172</v>
      </c>
      <c r="G69" s="43" t="s">
        <v>1173</v>
      </c>
      <c r="H69" s="43" t="s">
        <v>1174</v>
      </c>
      <c r="I69" s="43" t="s">
        <v>125</v>
      </c>
      <c r="J69" s="43">
        <v>2</v>
      </c>
    </row>
    <row r="70" spans="1:10" ht="48" customHeight="1">
      <c r="A70" s="43">
        <v>86967</v>
      </c>
      <c r="B70" s="43" t="s">
        <v>980</v>
      </c>
      <c r="C70" s="43"/>
      <c r="D70" s="43" t="s">
        <v>1175</v>
      </c>
      <c r="E70" s="43"/>
      <c r="F70" s="43" t="s">
        <v>1176</v>
      </c>
      <c r="G70" s="43" t="s">
        <v>1177</v>
      </c>
      <c r="H70" s="43">
        <v>1</v>
      </c>
      <c r="I70" s="43"/>
      <c r="J70" s="43">
        <v>1</v>
      </c>
    </row>
    <row r="71" spans="1:10" ht="48" customHeight="1">
      <c r="A71" s="43">
        <v>86966</v>
      </c>
      <c r="B71" s="43" t="s">
        <v>980</v>
      </c>
      <c r="C71" s="43"/>
      <c r="D71" s="43" t="s">
        <v>1178</v>
      </c>
      <c r="E71" s="43"/>
      <c r="F71" s="43" t="s">
        <v>1179</v>
      </c>
      <c r="G71" s="43" t="s">
        <v>1180</v>
      </c>
      <c r="H71" s="43">
        <v>1</v>
      </c>
      <c r="I71" s="43"/>
      <c r="J71" s="43">
        <v>1</v>
      </c>
    </row>
    <row r="72" spans="1:10" ht="48" customHeight="1">
      <c r="A72" s="43">
        <v>86965</v>
      </c>
      <c r="B72" s="43" t="s">
        <v>980</v>
      </c>
      <c r="C72" s="43"/>
      <c r="D72" s="43" t="s">
        <v>1181</v>
      </c>
      <c r="E72" s="43"/>
      <c r="F72" s="43" t="s">
        <v>1182</v>
      </c>
      <c r="G72" s="43" t="s">
        <v>1183</v>
      </c>
      <c r="H72" s="43" t="s">
        <v>958</v>
      </c>
      <c r="I72" s="43"/>
      <c r="J72" s="43">
        <v>1</v>
      </c>
    </row>
    <row r="73" spans="1:10" ht="49.5" customHeight="1">
      <c r="A73" s="43">
        <v>86964</v>
      </c>
      <c r="B73" s="43" t="s">
        <v>980</v>
      </c>
      <c r="C73" s="43"/>
      <c r="D73" s="43" t="s">
        <v>1184</v>
      </c>
      <c r="E73" s="43"/>
      <c r="F73" s="43" t="s">
        <v>1185</v>
      </c>
      <c r="G73" s="43" t="s">
        <v>1186</v>
      </c>
      <c r="H73" s="43">
        <v>1</v>
      </c>
      <c r="I73" s="43"/>
      <c r="J73" s="43">
        <v>1</v>
      </c>
    </row>
    <row r="74" spans="1:10" ht="48" customHeight="1">
      <c r="A74" s="43">
        <v>86963</v>
      </c>
      <c r="B74" s="43" t="s">
        <v>980</v>
      </c>
      <c r="C74" s="43"/>
      <c r="D74" s="43" t="s">
        <v>1187</v>
      </c>
      <c r="E74" s="43"/>
      <c r="F74" s="43" t="s">
        <v>1188</v>
      </c>
      <c r="G74" s="43" t="s">
        <v>1189</v>
      </c>
      <c r="H74" s="43" t="s">
        <v>976</v>
      </c>
      <c r="I74" s="43"/>
      <c r="J74" s="43">
        <v>1</v>
      </c>
    </row>
    <row r="75" spans="1:10" ht="48" customHeight="1">
      <c r="A75" s="43">
        <v>86962</v>
      </c>
      <c r="B75" s="43" t="s">
        <v>980</v>
      </c>
      <c r="C75" s="43"/>
      <c r="D75" s="43" t="s">
        <v>1190</v>
      </c>
      <c r="E75" s="43"/>
      <c r="F75" s="43" t="s">
        <v>1191</v>
      </c>
      <c r="G75" s="43" t="s">
        <v>1192</v>
      </c>
      <c r="H75" s="43">
        <v>1</v>
      </c>
      <c r="I75" s="43"/>
      <c r="J75" s="43">
        <v>1</v>
      </c>
    </row>
    <row r="76" spans="1:10" ht="162" customHeight="1">
      <c r="A76" s="43">
        <v>86961</v>
      </c>
      <c r="B76" s="43" t="s">
        <v>980</v>
      </c>
      <c r="C76" s="43"/>
      <c r="D76" s="43" t="s">
        <v>1193</v>
      </c>
      <c r="E76" s="43"/>
      <c r="F76" s="43" t="s">
        <v>1194</v>
      </c>
      <c r="G76" s="43" t="s">
        <v>1195</v>
      </c>
      <c r="H76" s="43">
        <v>1</v>
      </c>
      <c r="I76" s="43"/>
      <c r="J76" s="43">
        <v>1</v>
      </c>
    </row>
    <row r="77" spans="1:10" ht="48" customHeight="1">
      <c r="A77" s="43">
        <v>86960</v>
      </c>
      <c r="B77" s="43" t="s">
        <v>980</v>
      </c>
      <c r="C77" s="43"/>
      <c r="D77" s="43" t="s">
        <v>1196</v>
      </c>
      <c r="E77" s="43"/>
      <c r="F77" s="43" t="s">
        <v>1197</v>
      </c>
      <c r="G77" s="43" t="s">
        <v>1198</v>
      </c>
      <c r="H77" s="43">
        <v>1</v>
      </c>
      <c r="I77" s="43"/>
      <c r="J77" s="43">
        <v>1</v>
      </c>
    </row>
    <row r="78" spans="1:10" ht="48" customHeight="1">
      <c r="A78" s="43">
        <v>86959</v>
      </c>
      <c r="B78" s="43" t="s">
        <v>980</v>
      </c>
      <c r="C78" s="43"/>
      <c r="D78" s="43" t="s">
        <v>1199</v>
      </c>
      <c r="E78" s="43"/>
      <c r="F78" s="43" t="s">
        <v>1200</v>
      </c>
      <c r="G78" s="43" t="s">
        <v>1201</v>
      </c>
      <c r="H78" s="43">
        <v>1</v>
      </c>
      <c r="I78" s="43"/>
      <c r="J78" s="43">
        <v>1</v>
      </c>
    </row>
    <row r="79" spans="1:10" ht="48" customHeight="1">
      <c r="A79" s="43">
        <v>86958</v>
      </c>
      <c r="B79" s="43" t="s">
        <v>980</v>
      </c>
      <c r="C79" s="43"/>
      <c r="D79" s="43" t="s">
        <v>1202</v>
      </c>
      <c r="E79" s="43" t="s">
        <v>1203</v>
      </c>
      <c r="F79" s="43" t="s">
        <v>1204</v>
      </c>
      <c r="G79" s="43" t="s">
        <v>1205</v>
      </c>
      <c r="H79" s="43">
        <v>1</v>
      </c>
      <c r="I79" s="43"/>
      <c r="J79" s="43">
        <v>1</v>
      </c>
    </row>
    <row r="80" spans="1:10" ht="48" customHeight="1">
      <c r="A80" s="43">
        <v>86957</v>
      </c>
      <c r="B80" s="43" t="s">
        <v>980</v>
      </c>
      <c r="C80" s="43"/>
      <c r="D80" s="43" t="s">
        <v>1206</v>
      </c>
      <c r="E80" s="43" t="s">
        <v>1203</v>
      </c>
      <c r="F80" s="43" t="s">
        <v>1207</v>
      </c>
      <c r="G80" s="43" t="s">
        <v>1205</v>
      </c>
      <c r="H80" s="43">
        <v>1</v>
      </c>
      <c r="I80" s="43"/>
      <c r="J80" s="43">
        <v>1</v>
      </c>
    </row>
    <row r="81" spans="1:10" ht="48" customHeight="1">
      <c r="A81" s="43">
        <v>86956</v>
      </c>
      <c r="B81" s="43" t="s">
        <v>980</v>
      </c>
      <c r="C81" s="43"/>
      <c r="D81" s="43" t="s">
        <v>1208</v>
      </c>
      <c r="E81" s="43" t="s">
        <v>1203</v>
      </c>
      <c r="F81" s="43" t="s">
        <v>1209</v>
      </c>
      <c r="G81" s="43" t="s">
        <v>1210</v>
      </c>
      <c r="H81" s="43">
        <v>1</v>
      </c>
      <c r="I81" s="43"/>
      <c r="J81" s="43">
        <v>1</v>
      </c>
    </row>
    <row r="82" spans="1:10" ht="48" customHeight="1">
      <c r="A82" s="43">
        <v>86955</v>
      </c>
      <c r="B82" s="43" t="s">
        <v>980</v>
      </c>
      <c r="C82" s="43"/>
      <c r="D82" s="43" t="s">
        <v>1211</v>
      </c>
      <c r="E82" s="43" t="s">
        <v>1212</v>
      </c>
      <c r="F82" s="43" t="s">
        <v>1213</v>
      </c>
      <c r="G82" s="43" t="s">
        <v>1214</v>
      </c>
      <c r="H82" s="43" t="s">
        <v>958</v>
      </c>
      <c r="I82" s="43"/>
      <c r="J82" s="43">
        <v>1</v>
      </c>
    </row>
    <row r="83" spans="1:10" ht="48" customHeight="1">
      <c r="A83" s="43">
        <v>86954</v>
      </c>
      <c r="B83" s="43" t="s">
        <v>980</v>
      </c>
      <c r="C83" s="43"/>
      <c r="D83" s="43" t="s">
        <v>1215</v>
      </c>
      <c r="E83" s="43" t="s">
        <v>1203</v>
      </c>
      <c r="F83" s="43" t="s">
        <v>1216</v>
      </c>
      <c r="G83" s="43" t="s">
        <v>1217</v>
      </c>
      <c r="H83" s="43" t="s">
        <v>958</v>
      </c>
      <c r="I83" s="43"/>
      <c r="J83" s="43">
        <v>1</v>
      </c>
    </row>
    <row r="84" spans="1:10" ht="60" customHeight="1">
      <c r="A84" s="43">
        <v>86953</v>
      </c>
      <c r="B84" s="43" t="s">
        <v>980</v>
      </c>
      <c r="C84" s="43"/>
      <c r="D84" s="43" t="s">
        <v>1218</v>
      </c>
      <c r="E84" s="43" t="s">
        <v>1203</v>
      </c>
      <c r="F84" s="43" t="s">
        <v>1219</v>
      </c>
      <c r="G84" s="43" t="s">
        <v>1220</v>
      </c>
      <c r="H84" s="43" t="s">
        <v>958</v>
      </c>
      <c r="I84" s="43"/>
      <c r="J84" s="43">
        <v>1</v>
      </c>
    </row>
    <row r="85" spans="1:10" ht="48" customHeight="1">
      <c r="A85" s="43">
        <v>86952</v>
      </c>
      <c r="B85" s="43" t="s">
        <v>980</v>
      </c>
      <c r="C85" s="43"/>
      <c r="D85" s="43" t="s">
        <v>1221</v>
      </c>
      <c r="E85" s="43" t="s">
        <v>1203</v>
      </c>
      <c r="F85" s="43" t="s">
        <v>1222</v>
      </c>
      <c r="G85" s="43" t="s">
        <v>1217</v>
      </c>
      <c r="H85" s="43" t="s">
        <v>958</v>
      </c>
      <c r="I85" s="43"/>
      <c r="J85" s="43">
        <v>1</v>
      </c>
    </row>
    <row r="86" spans="1:10" ht="48" customHeight="1">
      <c r="A86" s="43">
        <v>86951</v>
      </c>
      <c r="B86" s="43" t="s">
        <v>980</v>
      </c>
      <c r="C86" s="43"/>
      <c r="D86" s="43" t="s">
        <v>1223</v>
      </c>
      <c r="E86" s="43" t="s">
        <v>1203</v>
      </c>
      <c r="F86" s="43" t="s">
        <v>1224</v>
      </c>
      <c r="G86" s="43" t="s">
        <v>1220</v>
      </c>
      <c r="H86" s="43" t="s">
        <v>958</v>
      </c>
      <c r="I86" s="43"/>
      <c r="J86" s="43">
        <v>1</v>
      </c>
    </row>
    <row r="87" spans="1:10" ht="174" customHeight="1">
      <c r="A87" s="43">
        <v>86950</v>
      </c>
      <c r="B87" s="43" t="s">
        <v>980</v>
      </c>
      <c r="C87" s="43"/>
      <c r="D87" s="43" t="s">
        <v>1225</v>
      </c>
      <c r="E87" s="43" t="s">
        <v>1226</v>
      </c>
      <c r="F87" s="43" t="s">
        <v>1227</v>
      </c>
      <c r="G87" s="43" t="s">
        <v>1228</v>
      </c>
      <c r="H87" s="43">
        <v>1</v>
      </c>
      <c r="I87" s="43"/>
      <c r="J87" s="43">
        <v>2</v>
      </c>
    </row>
    <row r="88" spans="1:10" ht="48" customHeight="1">
      <c r="A88" s="43">
        <v>86949</v>
      </c>
      <c r="B88" s="43" t="s">
        <v>980</v>
      </c>
      <c r="C88" s="43"/>
      <c r="D88" s="43" t="s">
        <v>1229</v>
      </c>
      <c r="E88" s="43" t="s">
        <v>1226</v>
      </c>
      <c r="F88" s="43" t="s">
        <v>1230</v>
      </c>
      <c r="G88" s="43" t="s">
        <v>1228</v>
      </c>
      <c r="H88" s="43">
        <v>1</v>
      </c>
      <c r="I88" s="43"/>
      <c r="J88" s="43">
        <v>2</v>
      </c>
    </row>
    <row r="89" spans="1:10" ht="48" customHeight="1">
      <c r="A89" s="43">
        <v>86948</v>
      </c>
      <c r="B89" s="43" t="s">
        <v>980</v>
      </c>
      <c r="C89" s="43"/>
      <c r="D89" s="43" t="s">
        <v>1231</v>
      </c>
      <c r="E89" s="43" t="s">
        <v>1232</v>
      </c>
      <c r="F89" s="43" t="s">
        <v>1233</v>
      </c>
      <c r="G89" s="43" t="s">
        <v>1234</v>
      </c>
      <c r="H89" s="43" t="s">
        <v>958</v>
      </c>
      <c r="I89" s="43"/>
      <c r="J89" s="43">
        <v>3</v>
      </c>
    </row>
    <row r="90" spans="1:10" ht="60.45" customHeight="1">
      <c r="A90" s="43">
        <v>86947</v>
      </c>
      <c r="B90" s="43" t="s">
        <v>980</v>
      </c>
      <c r="C90" s="43"/>
      <c r="D90" s="43" t="s">
        <v>1235</v>
      </c>
      <c r="E90" s="43" t="s">
        <v>1232</v>
      </c>
      <c r="F90" s="43" t="s">
        <v>1236</v>
      </c>
      <c r="G90" s="43" t="s">
        <v>1237</v>
      </c>
      <c r="H90" s="43">
        <v>1</v>
      </c>
      <c r="I90" s="43"/>
      <c r="J90" s="43">
        <v>1</v>
      </c>
    </row>
    <row r="91" spans="1:10" ht="48" customHeight="1">
      <c r="A91" s="43">
        <v>86946</v>
      </c>
      <c r="B91" s="43" t="s">
        <v>980</v>
      </c>
      <c r="C91" s="43"/>
      <c r="D91" s="43" t="s">
        <v>1238</v>
      </c>
      <c r="E91" s="43" t="s">
        <v>1232</v>
      </c>
      <c r="F91" s="43" t="s">
        <v>1239</v>
      </c>
      <c r="G91" s="43" t="s">
        <v>1240</v>
      </c>
      <c r="H91" s="43" t="s">
        <v>958</v>
      </c>
      <c r="I91" s="43"/>
      <c r="J91" s="43">
        <v>1</v>
      </c>
    </row>
    <row r="92" spans="1:10" ht="49.5" customHeight="1">
      <c r="A92" s="43">
        <v>86945</v>
      </c>
      <c r="B92" s="43" t="s">
        <v>980</v>
      </c>
      <c r="C92" s="43"/>
      <c r="D92" s="43" t="s">
        <v>1241</v>
      </c>
      <c r="E92" s="43" t="s">
        <v>1232</v>
      </c>
      <c r="F92" s="43" t="s">
        <v>1242</v>
      </c>
      <c r="G92" s="43" t="s">
        <v>1243</v>
      </c>
      <c r="H92" s="43" t="s">
        <v>958</v>
      </c>
      <c r="I92" s="43"/>
      <c r="J92" s="43">
        <v>1</v>
      </c>
    </row>
    <row r="93" spans="1:10" ht="61.95" customHeight="1">
      <c r="A93" s="43">
        <v>86944</v>
      </c>
      <c r="B93" s="43" t="s">
        <v>980</v>
      </c>
      <c r="C93" s="43"/>
      <c r="D93" s="43" t="s">
        <v>1244</v>
      </c>
      <c r="E93" s="43" t="s">
        <v>1232</v>
      </c>
      <c r="F93" s="43" t="s">
        <v>1245</v>
      </c>
      <c r="G93" s="43" t="s">
        <v>1240</v>
      </c>
      <c r="H93" s="43" t="s">
        <v>958</v>
      </c>
      <c r="I93" s="43"/>
      <c r="J93" s="43">
        <v>1</v>
      </c>
    </row>
    <row r="94" spans="1:10" ht="84" customHeight="1">
      <c r="A94" s="43">
        <v>86943</v>
      </c>
      <c r="B94" s="43" t="s">
        <v>980</v>
      </c>
      <c r="C94" s="43"/>
      <c r="D94" s="43" t="s">
        <v>1246</v>
      </c>
      <c r="E94" s="43" t="s">
        <v>1232</v>
      </c>
      <c r="F94" s="43" t="s">
        <v>1247</v>
      </c>
      <c r="G94" s="43" t="s">
        <v>1243</v>
      </c>
      <c r="H94" s="43" t="s">
        <v>958</v>
      </c>
      <c r="I94" s="43"/>
      <c r="J94" s="43">
        <v>1</v>
      </c>
    </row>
    <row r="95" spans="1:10" ht="48" customHeight="1">
      <c r="A95" s="43">
        <v>86942</v>
      </c>
      <c r="B95" s="43" t="s">
        <v>980</v>
      </c>
      <c r="C95" s="43"/>
      <c r="D95" s="43" t="s">
        <v>1248</v>
      </c>
      <c r="E95" s="43"/>
      <c r="F95" s="43" t="s">
        <v>1249</v>
      </c>
      <c r="G95" s="43" t="s">
        <v>1250</v>
      </c>
      <c r="H95" s="43" t="s">
        <v>976</v>
      </c>
      <c r="I95" s="43"/>
      <c r="J95" s="43">
        <v>1</v>
      </c>
    </row>
    <row r="96" spans="1:10" ht="48" customHeight="1">
      <c r="A96" s="43">
        <v>86941</v>
      </c>
      <c r="B96" s="43" t="s">
        <v>980</v>
      </c>
      <c r="C96" s="43"/>
      <c r="D96" s="43" t="s">
        <v>1251</v>
      </c>
      <c r="E96" s="43"/>
      <c r="F96" s="43" t="s">
        <v>1252</v>
      </c>
      <c r="G96" s="43" t="s">
        <v>1253</v>
      </c>
      <c r="H96" s="43">
        <v>1</v>
      </c>
      <c r="I96" s="43"/>
      <c r="J96" s="43">
        <v>1</v>
      </c>
    </row>
    <row r="97" spans="1:10" ht="48" customHeight="1">
      <c r="A97" s="43">
        <v>86940</v>
      </c>
      <c r="B97" s="43" t="s">
        <v>980</v>
      </c>
      <c r="C97" s="43"/>
      <c r="D97" s="43" t="s">
        <v>1254</v>
      </c>
      <c r="E97" s="43"/>
      <c r="F97" s="43" t="s">
        <v>1255</v>
      </c>
      <c r="G97" s="43" t="s">
        <v>1237</v>
      </c>
      <c r="H97" s="43">
        <v>1</v>
      </c>
      <c r="I97" s="43"/>
      <c r="J97" s="43">
        <v>1</v>
      </c>
    </row>
    <row r="98" spans="1:10" ht="48" customHeight="1">
      <c r="A98" s="43">
        <v>86939</v>
      </c>
      <c r="B98" s="43" t="s">
        <v>980</v>
      </c>
      <c r="C98" s="43"/>
      <c r="D98" s="43" t="s">
        <v>1256</v>
      </c>
      <c r="E98" s="43" t="s">
        <v>1257</v>
      </c>
      <c r="F98" s="43" t="s">
        <v>1258</v>
      </c>
      <c r="G98" s="43" t="s">
        <v>1259</v>
      </c>
      <c r="H98" s="43">
        <v>1</v>
      </c>
      <c r="I98" s="43"/>
      <c r="J98" s="43">
        <v>1</v>
      </c>
    </row>
    <row r="99" spans="1:10" ht="48" customHeight="1">
      <c r="A99" s="43">
        <v>86938</v>
      </c>
      <c r="B99" s="43" t="s">
        <v>980</v>
      </c>
      <c r="C99" s="43"/>
      <c r="D99" s="43" t="s">
        <v>1260</v>
      </c>
      <c r="E99" s="43" t="s">
        <v>1261</v>
      </c>
      <c r="F99" s="43" t="s">
        <v>1262</v>
      </c>
      <c r="G99" s="43" t="s">
        <v>1263</v>
      </c>
      <c r="H99" s="43">
        <v>1</v>
      </c>
      <c r="I99" s="43"/>
      <c r="J99" s="43">
        <v>1</v>
      </c>
    </row>
    <row r="100" spans="1:10" ht="48" customHeight="1">
      <c r="A100" s="43">
        <v>86841</v>
      </c>
      <c r="B100" s="43" t="s">
        <v>916</v>
      </c>
      <c r="C100" s="43"/>
      <c r="D100" s="43" t="s">
        <v>1264</v>
      </c>
      <c r="E100" s="43"/>
      <c r="F100" s="43" t="s">
        <v>1265</v>
      </c>
      <c r="G100" s="43" t="s">
        <v>1266</v>
      </c>
      <c r="H100" s="43" t="s">
        <v>1267</v>
      </c>
      <c r="I100" s="43" t="s">
        <v>125</v>
      </c>
      <c r="J100" s="43">
        <v>1</v>
      </c>
    </row>
    <row r="101" spans="1:10" ht="48" customHeight="1">
      <c r="A101" s="43">
        <v>86840</v>
      </c>
      <c r="B101" s="43" t="s">
        <v>755</v>
      </c>
      <c r="C101" s="43"/>
      <c r="D101" s="43" t="s">
        <v>1268</v>
      </c>
      <c r="E101" s="43"/>
      <c r="F101" s="43" t="s">
        <v>1269</v>
      </c>
      <c r="G101" s="43" t="s">
        <v>1270</v>
      </c>
      <c r="H101" s="43" t="s">
        <v>976</v>
      </c>
      <c r="I101" s="43" t="s">
        <v>124</v>
      </c>
      <c r="J101" s="43">
        <v>1</v>
      </c>
    </row>
    <row r="102" spans="1:10" ht="48" customHeight="1">
      <c r="A102" s="43">
        <v>86817</v>
      </c>
      <c r="B102" s="43" t="s">
        <v>1271</v>
      </c>
      <c r="C102" s="43" t="s">
        <v>1272</v>
      </c>
      <c r="D102" s="43" t="s">
        <v>1273</v>
      </c>
      <c r="E102" s="43" t="s">
        <v>1274</v>
      </c>
      <c r="F102" s="43" t="s">
        <v>1275</v>
      </c>
      <c r="G102" s="43" t="s">
        <v>1276</v>
      </c>
      <c r="H102" s="43" t="s">
        <v>965</v>
      </c>
      <c r="I102" s="43"/>
      <c r="J102" s="43">
        <v>4</v>
      </c>
    </row>
    <row r="103" spans="1:10" ht="140.4">
      <c r="A103" s="34">
        <v>86816</v>
      </c>
      <c r="B103" s="35" t="s">
        <v>1271</v>
      </c>
      <c r="C103" s="36" t="s">
        <v>1277</v>
      </c>
      <c r="D103" s="35" t="s">
        <v>1278</v>
      </c>
      <c r="E103" s="35" t="s">
        <v>1274</v>
      </c>
      <c r="F103" s="33" t="s">
        <v>1279</v>
      </c>
      <c r="G103" s="33" t="s">
        <v>1276</v>
      </c>
      <c r="H103" s="33" t="s">
        <v>965</v>
      </c>
      <c r="J103" s="33">
        <v>5</v>
      </c>
    </row>
    <row r="104" spans="1:10" ht="296.39999999999998">
      <c r="A104" s="34">
        <v>86812</v>
      </c>
      <c r="B104" s="35" t="s">
        <v>309</v>
      </c>
      <c r="C104" s="36" t="s">
        <v>1280</v>
      </c>
      <c r="D104" s="35" t="s">
        <v>1281</v>
      </c>
      <c r="E104" s="35" t="s">
        <v>1282</v>
      </c>
      <c r="F104" s="33" t="s">
        <v>1283</v>
      </c>
      <c r="G104" s="33" t="s">
        <v>1284</v>
      </c>
      <c r="H104" s="33" t="s">
        <v>1285</v>
      </c>
      <c r="I104" s="33" t="s">
        <v>125</v>
      </c>
      <c r="J104" s="33">
        <v>1</v>
      </c>
    </row>
    <row r="105" spans="1:10" ht="156">
      <c r="A105" s="34">
        <v>86811</v>
      </c>
      <c r="B105" s="35" t="s">
        <v>911</v>
      </c>
      <c r="C105" s="36" t="s">
        <v>1286</v>
      </c>
      <c r="D105" s="35" t="s">
        <v>1287</v>
      </c>
      <c r="F105" s="33" t="s">
        <v>1288</v>
      </c>
      <c r="G105" s="33" t="s">
        <v>1289</v>
      </c>
      <c r="H105" s="33">
        <v>1</v>
      </c>
      <c r="I105" s="33" t="s">
        <v>124</v>
      </c>
      <c r="J105" s="33">
        <v>1</v>
      </c>
    </row>
    <row r="106" spans="1:10" ht="140.4">
      <c r="A106" s="34">
        <v>86810</v>
      </c>
      <c r="B106" s="35" t="s">
        <v>913</v>
      </c>
      <c r="C106" s="36" t="s">
        <v>1290</v>
      </c>
      <c r="D106" s="35" t="s">
        <v>1291</v>
      </c>
      <c r="F106" s="33" t="s">
        <v>1292</v>
      </c>
      <c r="G106" s="33" t="s">
        <v>1293</v>
      </c>
      <c r="H106" s="33">
        <v>1</v>
      </c>
      <c r="I106" s="33" t="s">
        <v>124</v>
      </c>
      <c r="J106" s="33">
        <v>1</v>
      </c>
    </row>
    <row r="107" spans="1:10" ht="156">
      <c r="A107" s="34">
        <v>86809</v>
      </c>
      <c r="B107" s="35" t="s">
        <v>755</v>
      </c>
      <c r="C107" s="36" t="s">
        <v>1294</v>
      </c>
      <c r="D107" s="35" t="s">
        <v>1295</v>
      </c>
      <c r="F107" s="33" t="s">
        <v>1296</v>
      </c>
      <c r="G107" s="33" t="s">
        <v>1297</v>
      </c>
      <c r="H107" s="33">
        <v>1</v>
      </c>
      <c r="I107" s="33" t="s">
        <v>124</v>
      </c>
      <c r="J107" s="33">
        <v>1</v>
      </c>
    </row>
    <row r="108" spans="1:10" ht="140.4">
      <c r="A108" s="34">
        <v>86808</v>
      </c>
      <c r="B108" s="35" t="s">
        <v>919</v>
      </c>
      <c r="C108" s="36" t="s">
        <v>1298</v>
      </c>
      <c r="D108" s="35" t="s">
        <v>1299</v>
      </c>
      <c r="F108" s="33" t="s">
        <v>1300</v>
      </c>
      <c r="G108" s="33" t="s">
        <v>1301</v>
      </c>
      <c r="H108" s="33" t="s">
        <v>958</v>
      </c>
      <c r="I108" s="33" t="s">
        <v>124</v>
      </c>
      <c r="J108" s="33">
        <v>1</v>
      </c>
    </row>
    <row r="109" spans="1:10" ht="187.2">
      <c r="A109" s="34">
        <v>86784</v>
      </c>
      <c r="B109" s="35" t="s">
        <v>950</v>
      </c>
      <c r="C109" s="36" t="s">
        <v>1302</v>
      </c>
      <c r="D109" s="35" t="s">
        <v>1303</v>
      </c>
      <c r="E109" s="35" t="s">
        <v>1304</v>
      </c>
      <c r="F109" s="33" t="s">
        <v>1305</v>
      </c>
      <c r="G109" s="33" t="s">
        <v>1306</v>
      </c>
      <c r="H109" s="33">
        <v>1</v>
      </c>
      <c r="J109" s="33">
        <v>1</v>
      </c>
    </row>
    <row r="110" spans="1:10" ht="171.6">
      <c r="A110" s="34">
        <v>86783</v>
      </c>
      <c r="B110" s="35" t="s">
        <v>888</v>
      </c>
      <c r="C110" s="36" t="s">
        <v>1307</v>
      </c>
      <c r="D110" s="35" t="s">
        <v>1308</v>
      </c>
      <c r="F110" s="33" t="s">
        <v>1309</v>
      </c>
      <c r="G110" s="33" t="s">
        <v>1310</v>
      </c>
      <c r="H110" s="33" t="s">
        <v>958</v>
      </c>
      <c r="I110" s="33" t="s">
        <v>124</v>
      </c>
      <c r="J110" s="33">
        <v>1</v>
      </c>
    </row>
    <row r="111" spans="1:10" ht="171.6">
      <c r="A111" s="34">
        <v>86782</v>
      </c>
      <c r="B111" s="35" t="s">
        <v>888</v>
      </c>
      <c r="C111" s="36" t="s">
        <v>1307</v>
      </c>
      <c r="D111" s="35" t="s">
        <v>1311</v>
      </c>
      <c r="E111" s="35" t="s">
        <v>1312</v>
      </c>
      <c r="F111" s="33" t="s">
        <v>1313</v>
      </c>
      <c r="G111" s="33" t="s">
        <v>1314</v>
      </c>
      <c r="H111" s="33">
        <v>1</v>
      </c>
      <c r="I111" s="33" t="s">
        <v>124</v>
      </c>
      <c r="J111" s="33">
        <v>1</v>
      </c>
    </row>
    <row r="112" spans="1:10" ht="109.2">
      <c r="A112" s="34">
        <v>86781</v>
      </c>
      <c r="B112" s="35" t="s">
        <v>259</v>
      </c>
      <c r="C112" s="36" t="s">
        <v>1315</v>
      </c>
      <c r="D112" s="35" t="s">
        <v>887</v>
      </c>
      <c r="E112" s="35" t="s">
        <v>1316</v>
      </c>
      <c r="F112" s="33" t="s">
        <v>1317</v>
      </c>
      <c r="G112" s="33" t="s">
        <v>1318</v>
      </c>
      <c r="H112" s="33">
        <v>1</v>
      </c>
      <c r="I112" s="33" t="s">
        <v>124</v>
      </c>
      <c r="J112" s="33">
        <v>1</v>
      </c>
    </row>
    <row r="113" spans="1:10" ht="140.4">
      <c r="A113" s="34">
        <v>86468</v>
      </c>
      <c r="B113" s="35" t="s">
        <v>309</v>
      </c>
      <c r="C113" s="36" t="s">
        <v>1319</v>
      </c>
      <c r="D113" s="35" t="s">
        <v>1320</v>
      </c>
      <c r="F113" s="33" t="s">
        <v>1321</v>
      </c>
      <c r="G113" s="33" t="s">
        <v>1322</v>
      </c>
      <c r="H113" s="33" t="s">
        <v>1323</v>
      </c>
      <c r="I113" s="33" t="s">
        <v>124</v>
      </c>
      <c r="J113" s="33">
        <v>1</v>
      </c>
    </row>
    <row r="114" spans="1:10" ht="187.2">
      <c r="A114" s="34">
        <v>86182</v>
      </c>
      <c r="B114" s="35" t="s">
        <v>309</v>
      </c>
      <c r="C114" s="36" t="s">
        <v>1324</v>
      </c>
      <c r="D114" s="35" t="s">
        <v>1325</v>
      </c>
      <c r="F114" s="33" t="s">
        <v>1326</v>
      </c>
      <c r="G114" s="33" t="s">
        <v>1327</v>
      </c>
      <c r="H114" s="33" t="s">
        <v>1328</v>
      </c>
      <c r="I114" s="33" t="s">
        <v>125</v>
      </c>
      <c r="J114" s="33">
        <v>2</v>
      </c>
    </row>
    <row r="115" spans="1:10" ht="62.4">
      <c r="A115" s="34">
        <v>85725</v>
      </c>
      <c r="B115" s="35" t="s">
        <v>980</v>
      </c>
      <c r="D115" s="35" t="s">
        <v>1329</v>
      </c>
      <c r="E115" s="35" t="s">
        <v>1330</v>
      </c>
      <c r="F115" s="33" t="s">
        <v>1331</v>
      </c>
      <c r="G115" s="33" t="s">
        <v>1332</v>
      </c>
      <c r="H115" s="33" t="s">
        <v>1333</v>
      </c>
      <c r="I115" s="33" t="s">
        <v>124</v>
      </c>
      <c r="J115" s="33">
        <v>2</v>
      </c>
    </row>
    <row r="116" spans="1:10" ht="62.4">
      <c r="A116" s="34">
        <v>85724</v>
      </c>
      <c r="B116" s="35" t="s">
        <v>980</v>
      </c>
      <c r="D116" s="35" t="s">
        <v>1334</v>
      </c>
      <c r="E116" s="35" t="s">
        <v>1330</v>
      </c>
      <c r="F116" s="33" t="s">
        <v>1335</v>
      </c>
      <c r="G116" s="33" t="s">
        <v>1336</v>
      </c>
      <c r="H116" s="33" t="s">
        <v>976</v>
      </c>
      <c r="I116" s="33" t="s">
        <v>124</v>
      </c>
      <c r="J116" s="33">
        <v>5</v>
      </c>
    </row>
    <row r="117" spans="1:10" ht="78">
      <c r="A117" s="34">
        <v>85723</v>
      </c>
      <c r="B117" s="35" t="s">
        <v>980</v>
      </c>
      <c r="D117" s="35" t="s">
        <v>1337</v>
      </c>
      <c r="E117" s="35" t="s">
        <v>1338</v>
      </c>
      <c r="F117" s="33" t="s">
        <v>1339</v>
      </c>
      <c r="G117" s="33" t="s">
        <v>1336</v>
      </c>
      <c r="H117" s="33" t="s">
        <v>976</v>
      </c>
      <c r="I117" s="33" t="s">
        <v>124</v>
      </c>
      <c r="J117" s="33">
        <v>4</v>
      </c>
    </row>
    <row r="118" spans="1:10" ht="62.4">
      <c r="A118" s="34">
        <v>85722</v>
      </c>
      <c r="B118" s="35" t="s">
        <v>980</v>
      </c>
      <c r="D118" s="35" t="s">
        <v>1340</v>
      </c>
      <c r="E118" s="35" t="s">
        <v>1047</v>
      </c>
      <c r="F118" s="33" t="s">
        <v>1341</v>
      </c>
      <c r="G118" s="33" t="s">
        <v>1336</v>
      </c>
      <c r="H118" s="33" t="s">
        <v>976</v>
      </c>
      <c r="I118" s="33" t="s">
        <v>124</v>
      </c>
      <c r="J118" s="33">
        <v>4</v>
      </c>
    </row>
    <row r="119" spans="1:10" ht="218.4">
      <c r="A119" s="34">
        <v>85710</v>
      </c>
      <c r="B119" s="35" t="s">
        <v>259</v>
      </c>
      <c r="D119" s="35" t="s">
        <v>1342</v>
      </c>
      <c r="E119" s="35" t="s">
        <v>1343</v>
      </c>
      <c r="F119" s="33" t="s">
        <v>1344</v>
      </c>
      <c r="G119" s="33" t="s">
        <v>1345</v>
      </c>
      <c r="H119" s="33" t="s">
        <v>976</v>
      </c>
      <c r="I119" s="33" t="s">
        <v>124</v>
      </c>
      <c r="J119" s="33">
        <v>2</v>
      </c>
    </row>
    <row r="120" spans="1:10" ht="156">
      <c r="A120" s="34">
        <v>84224</v>
      </c>
      <c r="B120" s="35" t="s">
        <v>880</v>
      </c>
      <c r="C120" s="36" t="s">
        <v>1346</v>
      </c>
      <c r="D120" s="35" t="s">
        <v>891</v>
      </c>
      <c r="E120" s="35" t="s">
        <v>1347</v>
      </c>
      <c r="F120" s="33" t="s">
        <v>1348</v>
      </c>
      <c r="G120" s="33" t="s">
        <v>1349</v>
      </c>
      <c r="H120" s="33" t="s">
        <v>976</v>
      </c>
      <c r="I120" s="33" t="s">
        <v>124</v>
      </c>
      <c r="J120" s="33">
        <v>2</v>
      </c>
    </row>
    <row r="121" spans="1:10" ht="171.6">
      <c r="A121" s="34">
        <v>83248</v>
      </c>
      <c r="B121" s="35" t="s">
        <v>759</v>
      </c>
      <c r="C121" s="36" t="s">
        <v>1350</v>
      </c>
      <c r="D121" s="35" t="s">
        <v>1351</v>
      </c>
      <c r="F121" s="33" t="s">
        <v>1352</v>
      </c>
      <c r="G121" s="33" t="s">
        <v>1353</v>
      </c>
      <c r="H121" s="33" t="s">
        <v>1354</v>
      </c>
      <c r="I121" s="33" t="s">
        <v>124</v>
      </c>
      <c r="J121" s="33">
        <v>1</v>
      </c>
    </row>
    <row r="122" spans="1:10" ht="93.6">
      <c r="A122" s="34">
        <v>82642</v>
      </c>
      <c r="B122" s="35" t="s">
        <v>277</v>
      </c>
      <c r="C122" s="36" t="s">
        <v>1355</v>
      </c>
      <c r="D122" s="35" t="s">
        <v>929</v>
      </c>
      <c r="F122" s="33" t="s">
        <v>1356</v>
      </c>
      <c r="G122" s="33" t="s">
        <v>1357</v>
      </c>
      <c r="H122" s="33">
        <v>1</v>
      </c>
      <c r="I122" s="33" t="s">
        <v>125</v>
      </c>
      <c r="J122" s="33">
        <v>2</v>
      </c>
    </row>
    <row r="123" spans="1:10" ht="78">
      <c r="A123" s="34">
        <v>82596</v>
      </c>
      <c r="B123" s="35" t="s">
        <v>277</v>
      </c>
      <c r="C123" s="36" t="s">
        <v>1358</v>
      </c>
      <c r="D123" s="35" t="s">
        <v>1359</v>
      </c>
      <c r="F123" s="33" t="s">
        <v>1360</v>
      </c>
      <c r="G123" s="33" t="s">
        <v>1361</v>
      </c>
      <c r="H123" s="33">
        <v>1</v>
      </c>
      <c r="I123" s="33" t="s">
        <v>124</v>
      </c>
      <c r="J123" s="33">
        <v>2</v>
      </c>
    </row>
    <row r="124" spans="1:10" ht="124.8">
      <c r="A124" s="34">
        <v>82544</v>
      </c>
      <c r="B124" s="35" t="s">
        <v>259</v>
      </c>
      <c r="C124" s="36" t="s">
        <v>1362</v>
      </c>
      <c r="D124" s="35" t="s">
        <v>1363</v>
      </c>
      <c r="F124" s="33" t="s">
        <v>1364</v>
      </c>
      <c r="G124" s="33" t="s">
        <v>1365</v>
      </c>
      <c r="H124" s="33">
        <v>1</v>
      </c>
      <c r="I124" s="33" t="s">
        <v>124</v>
      </c>
      <c r="J124" s="33">
        <v>1</v>
      </c>
    </row>
    <row r="125" spans="1:10" ht="140.4">
      <c r="A125" s="34">
        <v>82541</v>
      </c>
      <c r="B125" s="35" t="s">
        <v>906</v>
      </c>
      <c r="C125" s="36" t="s">
        <v>1366</v>
      </c>
      <c r="D125" s="35" t="s">
        <v>1367</v>
      </c>
      <c r="F125" s="33" t="s">
        <v>1368</v>
      </c>
      <c r="G125" s="33" t="s">
        <v>1369</v>
      </c>
      <c r="H125" s="33" t="s">
        <v>1370</v>
      </c>
      <c r="I125" s="33" t="s">
        <v>124</v>
      </c>
      <c r="J125" s="33">
        <v>2</v>
      </c>
    </row>
    <row r="126" spans="1:10" ht="265.2">
      <c r="A126" s="34">
        <v>82539</v>
      </c>
      <c r="B126" s="35" t="s">
        <v>634</v>
      </c>
      <c r="C126" s="36" t="s">
        <v>1371</v>
      </c>
      <c r="D126" s="35" t="s">
        <v>1372</v>
      </c>
      <c r="F126" s="33" t="s">
        <v>1373</v>
      </c>
      <c r="G126" s="33" t="s">
        <v>1374</v>
      </c>
      <c r="H126" s="33" t="s">
        <v>1375</v>
      </c>
      <c r="I126" s="33" t="s">
        <v>124</v>
      </c>
      <c r="J126" s="33">
        <v>2</v>
      </c>
    </row>
    <row r="127" spans="1:10" ht="124.8">
      <c r="A127" s="34">
        <v>82538</v>
      </c>
      <c r="B127" s="35" t="s">
        <v>375</v>
      </c>
      <c r="C127" s="36" t="s">
        <v>1376</v>
      </c>
      <c r="D127" s="35" t="s">
        <v>941</v>
      </c>
      <c r="F127" s="33" t="s">
        <v>1377</v>
      </c>
      <c r="G127" s="33" t="s">
        <v>1378</v>
      </c>
      <c r="H127" s="33">
        <v>1</v>
      </c>
      <c r="I127" s="33" t="s">
        <v>124</v>
      </c>
      <c r="J127" s="33">
        <v>2</v>
      </c>
    </row>
    <row r="128" spans="1:10" ht="109.2">
      <c r="A128" s="34">
        <v>82537</v>
      </c>
      <c r="B128" s="35" t="s">
        <v>411</v>
      </c>
      <c r="C128" s="36" t="s">
        <v>1379</v>
      </c>
      <c r="D128" s="35" t="s">
        <v>1380</v>
      </c>
      <c r="F128" s="33" t="s">
        <v>1381</v>
      </c>
      <c r="G128" s="33" t="s">
        <v>1382</v>
      </c>
      <c r="H128" s="33">
        <v>1</v>
      </c>
      <c r="I128" s="33" t="s">
        <v>124</v>
      </c>
      <c r="J128" s="33">
        <v>2</v>
      </c>
    </row>
    <row r="129" spans="1:10" ht="156">
      <c r="A129" s="34">
        <v>82536</v>
      </c>
      <c r="B129" s="35" t="s">
        <v>759</v>
      </c>
      <c r="C129" s="36" t="s">
        <v>1383</v>
      </c>
      <c r="D129" s="35" t="s">
        <v>1384</v>
      </c>
      <c r="E129" s="35" t="s">
        <v>1385</v>
      </c>
      <c r="F129" s="33" t="s">
        <v>1386</v>
      </c>
      <c r="G129" s="33" t="s">
        <v>1387</v>
      </c>
      <c r="H129" s="33">
        <v>1</v>
      </c>
      <c r="I129" s="33" t="s">
        <v>124</v>
      </c>
      <c r="J129" s="33">
        <v>2</v>
      </c>
    </row>
    <row r="130" spans="1:10" ht="280.8">
      <c r="A130" s="34">
        <v>82531</v>
      </c>
      <c r="B130" s="35" t="s">
        <v>462</v>
      </c>
      <c r="C130" s="36" t="s">
        <v>1388</v>
      </c>
      <c r="D130" s="35" t="s">
        <v>1389</v>
      </c>
      <c r="F130" s="33" t="s">
        <v>1390</v>
      </c>
      <c r="G130" s="33" t="s">
        <v>1391</v>
      </c>
      <c r="H130" s="33" t="s">
        <v>1392</v>
      </c>
      <c r="I130" s="33" t="s">
        <v>124</v>
      </c>
      <c r="J130" s="33">
        <v>1</v>
      </c>
    </row>
    <row r="131" spans="1:10" ht="202.8">
      <c r="A131" s="34">
        <v>82530</v>
      </c>
      <c r="B131" s="35" t="s">
        <v>462</v>
      </c>
      <c r="C131" s="36" t="s">
        <v>1388</v>
      </c>
      <c r="D131" s="35" t="s">
        <v>1393</v>
      </c>
      <c r="F131" s="33" t="s">
        <v>1394</v>
      </c>
      <c r="G131" s="33" t="s">
        <v>1395</v>
      </c>
      <c r="H131" s="33" t="s">
        <v>1392</v>
      </c>
      <c r="I131" s="33" t="s">
        <v>124</v>
      </c>
      <c r="J131" s="33">
        <v>1</v>
      </c>
    </row>
    <row r="132" spans="1:10" ht="265.2">
      <c r="A132" s="34">
        <v>82529</v>
      </c>
      <c r="B132" s="35" t="s">
        <v>462</v>
      </c>
      <c r="C132" s="36" t="s">
        <v>1388</v>
      </c>
      <c r="D132" s="35" t="s">
        <v>1396</v>
      </c>
      <c r="F132" s="33" t="s">
        <v>1397</v>
      </c>
      <c r="G132" s="33" t="s">
        <v>1398</v>
      </c>
      <c r="H132" s="33" t="s">
        <v>1392</v>
      </c>
      <c r="I132" s="33" t="s">
        <v>124</v>
      </c>
      <c r="J132" s="33">
        <v>1</v>
      </c>
    </row>
    <row r="133" spans="1:10" ht="249.6">
      <c r="A133" s="34">
        <v>82528</v>
      </c>
      <c r="B133" s="35" t="s">
        <v>462</v>
      </c>
      <c r="C133" s="36" t="s">
        <v>1388</v>
      </c>
      <c r="D133" s="35" t="s">
        <v>1399</v>
      </c>
      <c r="F133" s="33" t="s">
        <v>1400</v>
      </c>
      <c r="G133" s="33" t="s">
        <v>1401</v>
      </c>
      <c r="H133" s="33" t="s">
        <v>1392</v>
      </c>
      <c r="I133" s="33" t="s">
        <v>124</v>
      </c>
      <c r="J133" s="33">
        <v>1</v>
      </c>
    </row>
    <row r="134" spans="1:10" ht="109.2">
      <c r="A134" s="34">
        <v>82527</v>
      </c>
      <c r="B134" s="35" t="s">
        <v>462</v>
      </c>
      <c r="C134" s="36" t="s">
        <v>1388</v>
      </c>
      <c r="D134" s="35" t="s">
        <v>1402</v>
      </c>
      <c r="F134" s="33" t="s">
        <v>1403</v>
      </c>
      <c r="G134" s="33" t="s">
        <v>1404</v>
      </c>
      <c r="H134" s="33" t="s">
        <v>1392</v>
      </c>
      <c r="I134" s="33" t="s">
        <v>124</v>
      </c>
      <c r="J134" s="33">
        <v>1</v>
      </c>
    </row>
    <row r="135" spans="1:10" ht="156">
      <c r="A135" s="34">
        <v>82526</v>
      </c>
      <c r="B135" s="35" t="s">
        <v>810</v>
      </c>
      <c r="C135" s="36" t="s">
        <v>1405</v>
      </c>
      <c r="D135" s="35" t="s">
        <v>1406</v>
      </c>
      <c r="F135" s="33" t="s">
        <v>1407</v>
      </c>
      <c r="G135" s="33" t="s">
        <v>1408</v>
      </c>
      <c r="H135" s="33">
        <v>1</v>
      </c>
      <c r="I135" s="33" t="s">
        <v>124</v>
      </c>
      <c r="J135" s="33">
        <v>2</v>
      </c>
    </row>
    <row r="136" spans="1:10" ht="218.4">
      <c r="A136" s="34">
        <v>82520</v>
      </c>
      <c r="B136" s="35" t="s">
        <v>747</v>
      </c>
      <c r="C136" s="36" t="s">
        <v>1409</v>
      </c>
      <c r="D136" s="35" t="s">
        <v>904</v>
      </c>
      <c r="F136" s="33" t="s">
        <v>1410</v>
      </c>
      <c r="G136" s="33" t="s">
        <v>1411</v>
      </c>
      <c r="H136" s="33" t="s">
        <v>965</v>
      </c>
      <c r="I136" s="33" t="s">
        <v>124</v>
      </c>
      <c r="J136" s="33">
        <v>2</v>
      </c>
    </row>
    <row r="137" spans="1:10" ht="109.2">
      <c r="A137" s="34">
        <v>82516</v>
      </c>
      <c r="B137" s="35" t="s">
        <v>1412</v>
      </c>
      <c r="D137" s="35" t="s">
        <v>1413</v>
      </c>
      <c r="E137" s="35" t="s">
        <v>1414</v>
      </c>
      <c r="F137" s="33" t="s">
        <v>1415</v>
      </c>
      <c r="G137" s="33" t="s">
        <v>1416</v>
      </c>
      <c r="H137" s="33" t="s">
        <v>976</v>
      </c>
      <c r="I137" s="33" t="s">
        <v>124</v>
      </c>
      <c r="J137" s="33">
        <v>2</v>
      </c>
    </row>
    <row r="138" spans="1:10" ht="156">
      <c r="A138" s="34">
        <v>82514</v>
      </c>
      <c r="B138" s="35" t="s">
        <v>906</v>
      </c>
      <c r="C138" s="36" t="s">
        <v>1417</v>
      </c>
      <c r="D138" s="35" t="s">
        <v>1418</v>
      </c>
      <c r="F138" s="33" t="s">
        <v>1419</v>
      </c>
      <c r="G138" s="33" t="s">
        <v>1420</v>
      </c>
      <c r="H138" s="33" t="s">
        <v>1421</v>
      </c>
      <c r="I138" s="33" t="s">
        <v>124</v>
      </c>
      <c r="J138" s="33">
        <v>1</v>
      </c>
    </row>
    <row r="139" spans="1:10" ht="156">
      <c r="A139" s="34">
        <v>82513</v>
      </c>
      <c r="B139" s="35" t="s">
        <v>759</v>
      </c>
      <c r="C139" s="36" t="s">
        <v>1350</v>
      </c>
      <c r="D139" s="35" t="s">
        <v>1422</v>
      </c>
      <c r="F139" s="33" t="s">
        <v>1423</v>
      </c>
      <c r="G139" s="33" t="s">
        <v>1424</v>
      </c>
      <c r="H139" s="33" t="s">
        <v>1425</v>
      </c>
      <c r="I139" s="33" t="s">
        <v>124</v>
      </c>
      <c r="J139" s="33">
        <v>1</v>
      </c>
    </row>
    <row r="140" spans="1:10" ht="109.2">
      <c r="A140" s="34">
        <v>82511</v>
      </c>
      <c r="B140" s="35" t="s">
        <v>923</v>
      </c>
      <c r="C140" s="36" t="s">
        <v>1426</v>
      </c>
      <c r="D140" s="35" t="s">
        <v>1427</v>
      </c>
      <c r="F140" s="33" t="s">
        <v>1428</v>
      </c>
      <c r="G140" s="33" t="s">
        <v>1429</v>
      </c>
      <c r="H140" s="33">
        <v>1</v>
      </c>
      <c r="I140" s="33" t="s">
        <v>124</v>
      </c>
      <c r="J140" s="33">
        <v>2</v>
      </c>
    </row>
    <row r="141" spans="1:10" ht="109.2">
      <c r="A141" s="34">
        <v>82510</v>
      </c>
      <c r="B141" s="35" t="s">
        <v>916</v>
      </c>
      <c r="C141" s="36" t="s">
        <v>1430</v>
      </c>
      <c r="D141" s="35" t="s">
        <v>1431</v>
      </c>
      <c r="F141" s="33" t="s">
        <v>1432</v>
      </c>
      <c r="G141" s="33" t="s">
        <v>1433</v>
      </c>
      <c r="H141" s="33" t="s">
        <v>1434</v>
      </c>
      <c r="I141" s="33" t="s">
        <v>125</v>
      </c>
      <c r="J141" s="33">
        <v>3</v>
      </c>
    </row>
    <row r="142" spans="1:10" ht="171.6">
      <c r="A142" s="34">
        <v>82509</v>
      </c>
      <c r="B142" s="35" t="s">
        <v>919</v>
      </c>
      <c r="C142" s="36" t="s">
        <v>1298</v>
      </c>
      <c r="D142" s="35" t="s">
        <v>1435</v>
      </c>
      <c r="F142" s="33" t="s">
        <v>1436</v>
      </c>
      <c r="G142" s="33" t="s">
        <v>1437</v>
      </c>
      <c r="H142" s="33" t="s">
        <v>965</v>
      </c>
      <c r="I142" s="33" t="s">
        <v>124</v>
      </c>
      <c r="J142" s="33">
        <v>2</v>
      </c>
    </row>
    <row r="143" spans="1:10" ht="140.4">
      <c r="A143" s="34">
        <v>82508</v>
      </c>
      <c r="B143" s="35" t="s">
        <v>913</v>
      </c>
      <c r="C143" s="36" t="s">
        <v>1290</v>
      </c>
      <c r="D143" s="35" t="s">
        <v>1438</v>
      </c>
      <c r="F143" s="33" t="s">
        <v>1439</v>
      </c>
      <c r="G143" s="33" t="s">
        <v>1440</v>
      </c>
      <c r="H143" s="33" t="s">
        <v>958</v>
      </c>
      <c r="I143" s="33" t="s">
        <v>124</v>
      </c>
      <c r="J143" s="33">
        <v>2</v>
      </c>
    </row>
    <row r="144" spans="1:10" ht="156">
      <c r="A144" s="34">
        <v>82506</v>
      </c>
      <c r="B144" s="35" t="s">
        <v>755</v>
      </c>
      <c r="C144" s="36" t="s">
        <v>1294</v>
      </c>
      <c r="D144" s="35" t="s">
        <v>1441</v>
      </c>
      <c r="E144" s="35" t="s">
        <v>1442</v>
      </c>
      <c r="F144" s="33" t="s">
        <v>1443</v>
      </c>
      <c r="G144" s="33" t="s">
        <v>1444</v>
      </c>
      <c r="H144" s="33">
        <v>1</v>
      </c>
      <c r="I144" s="33" t="s">
        <v>124</v>
      </c>
      <c r="J144" s="33">
        <v>1</v>
      </c>
    </row>
    <row r="145" spans="1:10" ht="156">
      <c r="A145" s="34">
        <v>82505</v>
      </c>
      <c r="B145" s="35" t="s">
        <v>911</v>
      </c>
      <c r="C145" s="36" t="s">
        <v>1286</v>
      </c>
      <c r="D145" s="35" t="s">
        <v>1445</v>
      </c>
      <c r="F145" s="33" t="s">
        <v>1446</v>
      </c>
      <c r="G145" s="33" t="s">
        <v>1447</v>
      </c>
      <c r="H145" s="33" t="s">
        <v>958</v>
      </c>
      <c r="I145" s="33" t="s">
        <v>124</v>
      </c>
      <c r="J145" s="33">
        <v>1</v>
      </c>
    </row>
    <row r="146" spans="1:10" ht="109.2">
      <c r="A146" s="34">
        <v>82504</v>
      </c>
      <c r="B146" s="35" t="s">
        <v>751</v>
      </c>
      <c r="D146" s="35" t="s">
        <v>1448</v>
      </c>
      <c r="F146" s="33" t="s">
        <v>1449</v>
      </c>
      <c r="G146" s="33" t="s">
        <v>1450</v>
      </c>
      <c r="H146" s="33" t="s">
        <v>958</v>
      </c>
      <c r="I146" s="33" t="s">
        <v>124</v>
      </c>
      <c r="J146" s="33">
        <v>1</v>
      </c>
    </row>
    <row r="147" spans="1:10" ht="327.60000000000002">
      <c r="A147" s="34">
        <v>82503</v>
      </c>
      <c r="B147" s="35" t="s">
        <v>1451</v>
      </c>
      <c r="D147" s="35" t="s">
        <v>1452</v>
      </c>
      <c r="E147" s="35" t="s">
        <v>1453</v>
      </c>
      <c r="F147" s="33" t="s">
        <v>1454</v>
      </c>
      <c r="G147" s="33" t="s">
        <v>1455</v>
      </c>
      <c r="H147" s="33" t="s">
        <v>1456</v>
      </c>
      <c r="I147" s="33" t="s">
        <v>124</v>
      </c>
      <c r="J147" s="33">
        <v>1</v>
      </c>
    </row>
    <row r="148" spans="1:10" ht="171.6">
      <c r="A148" s="34">
        <v>82501</v>
      </c>
      <c r="B148" s="35" t="s">
        <v>880</v>
      </c>
      <c r="D148" s="35" t="s">
        <v>126</v>
      </c>
      <c r="F148" s="33" t="s">
        <v>1457</v>
      </c>
      <c r="G148" s="33" t="s">
        <v>1458</v>
      </c>
      <c r="H148" s="33" t="s">
        <v>958</v>
      </c>
      <c r="I148" s="33" t="s">
        <v>124</v>
      </c>
      <c r="J148" s="33">
        <v>1</v>
      </c>
    </row>
    <row r="149" spans="1:10" ht="62.4">
      <c r="A149" s="34">
        <v>82500</v>
      </c>
      <c r="B149" s="35" t="s">
        <v>631</v>
      </c>
      <c r="D149" s="35" t="s">
        <v>1459</v>
      </c>
      <c r="F149" s="33" t="s">
        <v>1460</v>
      </c>
      <c r="G149" s="33" t="s">
        <v>1461</v>
      </c>
      <c r="H149" s="33">
        <v>1</v>
      </c>
      <c r="I149" s="33" t="s">
        <v>124</v>
      </c>
      <c r="J149" s="33">
        <v>1</v>
      </c>
    </row>
    <row r="150" spans="1:10" ht="78">
      <c r="A150" s="34">
        <v>82499</v>
      </c>
      <c r="B150" s="35" t="s">
        <v>631</v>
      </c>
      <c r="D150" s="35" t="s">
        <v>127</v>
      </c>
      <c r="F150" s="33" t="s">
        <v>1462</v>
      </c>
      <c r="G150" s="33" t="s">
        <v>128</v>
      </c>
      <c r="H150" s="33">
        <v>1</v>
      </c>
      <c r="I150" s="33" t="s">
        <v>124</v>
      </c>
      <c r="J150" s="33">
        <v>2</v>
      </c>
    </row>
    <row r="151" spans="1:10" ht="93.6">
      <c r="A151" s="34">
        <v>82498</v>
      </c>
      <c r="B151" s="35" t="s">
        <v>880</v>
      </c>
      <c r="D151" s="35" t="s">
        <v>1463</v>
      </c>
      <c r="F151" s="33" t="s">
        <v>1464</v>
      </c>
      <c r="G151" s="33" t="s">
        <v>1465</v>
      </c>
      <c r="H151" s="33">
        <v>1</v>
      </c>
      <c r="I151" s="33" t="s">
        <v>124</v>
      </c>
      <c r="J151" s="33">
        <v>1</v>
      </c>
    </row>
    <row r="152" spans="1:10" ht="93.6">
      <c r="A152" s="34">
        <v>82497</v>
      </c>
      <c r="B152" s="35" t="s">
        <v>880</v>
      </c>
      <c r="D152" s="35" t="s">
        <v>1466</v>
      </c>
      <c r="F152" s="33" t="s">
        <v>1467</v>
      </c>
      <c r="G152" s="33" t="s">
        <v>1468</v>
      </c>
      <c r="H152" s="33" t="s">
        <v>976</v>
      </c>
      <c r="I152" s="33" t="s">
        <v>124</v>
      </c>
      <c r="J152" s="33">
        <v>1</v>
      </c>
    </row>
    <row r="153" spans="1:10" ht="156">
      <c r="A153" s="34">
        <v>82494</v>
      </c>
      <c r="B153" s="35" t="s">
        <v>1469</v>
      </c>
      <c r="D153" s="35" t="s">
        <v>1470</v>
      </c>
      <c r="F153" s="33" t="s">
        <v>1471</v>
      </c>
      <c r="G153" s="33" t="s">
        <v>1472</v>
      </c>
      <c r="H153" s="33" t="s">
        <v>1473</v>
      </c>
      <c r="I153" s="33" t="s">
        <v>124</v>
      </c>
      <c r="J153" s="33">
        <v>1</v>
      </c>
    </row>
    <row r="154" spans="1:10" ht="249.6">
      <c r="A154" s="34">
        <v>82487</v>
      </c>
      <c r="B154" s="35" t="s">
        <v>903</v>
      </c>
      <c r="C154" s="36" t="s">
        <v>1474</v>
      </c>
      <c r="D154" s="35" t="s">
        <v>1475</v>
      </c>
      <c r="E154" s="35" t="s">
        <v>1476</v>
      </c>
      <c r="F154" s="33" t="s">
        <v>1477</v>
      </c>
      <c r="G154" s="33" t="s">
        <v>1478</v>
      </c>
      <c r="H154" s="33" t="s">
        <v>958</v>
      </c>
      <c r="I154" s="33" t="s">
        <v>124</v>
      </c>
      <c r="J154" s="33">
        <v>3</v>
      </c>
    </row>
    <row r="155" spans="1:10" ht="280.8">
      <c r="A155" s="34">
        <v>82431</v>
      </c>
      <c r="B155" s="35" t="s">
        <v>259</v>
      </c>
      <c r="C155" s="36" t="s">
        <v>1479</v>
      </c>
      <c r="D155" s="35" t="s">
        <v>1480</v>
      </c>
      <c r="E155" s="35" t="s">
        <v>1481</v>
      </c>
      <c r="F155" s="33" t="s">
        <v>1482</v>
      </c>
      <c r="G155" s="33" t="s">
        <v>1483</v>
      </c>
      <c r="H155" s="33" t="s">
        <v>1484</v>
      </c>
      <c r="I155" s="33" t="s">
        <v>124</v>
      </c>
      <c r="J155" s="33">
        <v>3</v>
      </c>
    </row>
    <row r="156" spans="1:10" ht="124.8">
      <c r="A156" s="34">
        <v>82428</v>
      </c>
      <c r="B156" s="35" t="s">
        <v>259</v>
      </c>
      <c r="C156" s="36" t="s">
        <v>1485</v>
      </c>
      <c r="D156" s="35" t="s">
        <v>1486</v>
      </c>
      <c r="E156" s="35" t="s">
        <v>1487</v>
      </c>
      <c r="F156" s="33" t="s">
        <v>1488</v>
      </c>
      <c r="G156" s="33" t="s">
        <v>1489</v>
      </c>
      <c r="H156" s="33" t="s">
        <v>1490</v>
      </c>
      <c r="I156" s="33" t="s">
        <v>124</v>
      </c>
      <c r="J156" s="33">
        <v>4</v>
      </c>
    </row>
    <row r="157" spans="1:10" ht="218.4">
      <c r="A157" s="34">
        <v>82405</v>
      </c>
      <c r="B157" s="35" t="s">
        <v>309</v>
      </c>
      <c r="C157" s="36" t="s">
        <v>1491</v>
      </c>
      <c r="D157" s="35" t="s">
        <v>1492</v>
      </c>
      <c r="F157" s="33" t="s">
        <v>1493</v>
      </c>
      <c r="G157" s="33" t="s">
        <v>1494</v>
      </c>
      <c r="H157" s="33" t="s">
        <v>1495</v>
      </c>
      <c r="I157" s="33" t="s">
        <v>125</v>
      </c>
      <c r="J157" s="33">
        <v>1</v>
      </c>
    </row>
    <row r="158" spans="1:10" ht="78">
      <c r="A158" s="34">
        <v>82404</v>
      </c>
      <c r="B158" s="35" t="s">
        <v>277</v>
      </c>
      <c r="C158" s="36" t="s">
        <v>1496</v>
      </c>
      <c r="D158" s="35" t="s">
        <v>115</v>
      </c>
      <c r="F158" s="33" t="s">
        <v>1497</v>
      </c>
      <c r="G158" s="33" t="s">
        <v>1498</v>
      </c>
      <c r="H158" s="33">
        <v>1</v>
      </c>
      <c r="I158" s="33" t="s">
        <v>124</v>
      </c>
      <c r="J158" s="33">
        <v>1</v>
      </c>
    </row>
    <row r="159" spans="1:10" ht="78">
      <c r="A159" s="34">
        <v>82403</v>
      </c>
      <c r="B159" s="35" t="s">
        <v>277</v>
      </c>
      <c r="C159" s="36" t="s">
        <v>1499</v>
      </c>
      <c r="D159" s="35" t="s">
        <v>1500</v>
      </c>
      <c r="F159" s="33" t="s">
        <v>1501</v>
      </c>
      <c r="G159" s="33" t="s">
        <v>1502</v>
      </c>
      <c r="H159" s="33">
        <v>1</v>
      </c>
      <c r="I159" s="33" t="s">
        <v>124</v>
      </c>
      <c r="J159" s="33">
        <v>1</v>
      </c>
    </row>
    <row r="160" spans="1:10" ht="93.6">
      <c r="A160" s="34">
        <v>82402</v>
      </c>
      <c r="B160" s="35" t="s">
        <v>277</v>
      </c>
      <c r="C160" s="36" t="s">
        <v>1503</v>
      </c>
      <c r="D160" s="35" t="s">
        <v>1504</v>
      </c>
      <c r="F160" s="33" t="s">
        <v>1505</v>
      </c>
      <c r="G160" s="33" t="s">
        <v>1506</v>
      </c>
      <c r="H160" s="33" t="s">
        <v>1507</v>
      </c>
      <c r="I160" s="33" t="s">
        <v>125</v>
      </c>
      <c r="J160" s="33">
        <v>1</v>
      </c>
    </row>
    <row r="161" spans="1:10" ht="124.8">
      <c r="A161" s="34">
        <v>82401</v>
      </c>
      <c r="B161" s="35" t="s">
        <v>277</v>
      </c>
      <c r="C161" s="36" t="s">
        <v>1508</v>
      </c>
      <c r="D161" s="35" t="s">
        <v>1509</v>
      </c>
      <c r="F161" s="33" t="s">
        <v>1510</v>
      </c>
      <c r="G161" s="33" t="s">
        <v>1511</v>
      </c>
      <c r="H161" s="33" t="s">
        <v>1512</v>
      </c>
      <c r="I161" s="33" t="s">
        <v>125</v>
      </c>
      <c r="J161" s="33">
        <v>1</v>
      </c>
    </row>
    <row r="162" spans="1:10" ht="124.8">
      <c r="A162" s="34">
        <v>82400</v>
      </c>
      <c r="B162" s="35" t="s">
        <v>277</v>
      </c>
      <c r="C162" s="36" t="s">
        <v>1513</v>
      </c>
      <c r="D162" s="35" t="s">
        <v>1514</v>
      </c>
      <c r="F162" s="33" t="s">
        <v>1515</v>
      </c>
      <c r="G162" s="33" t="s">
        <v>1516</v>
      </c>
      <c r="H162" s="33" t="s">
        <v>1517</v>
      </c>
      <c r="I162" s="33" t="s">
        <v>125</v>
      </c>
      <c r="J162" s="33">
        <v>1</v>
      </c>
    </row>
    <row r="163" spans="1:10" ht="124.8">
      <c r="A163" s="34">
        <v>82399</v>
      </c>
      <c r="B163" s="35" t="s">
        <v>277</v>
      </c>
      <c r="C163" s="36" t="s">
        <v>1518</v>
      </c>
      <c r="D163" s="35" t="s">
        <v>1519</v>
      </c>
      <c r="F163" s="33" t="s">
        <v>1520</v>
      </c>
      <c r="G163" s="33" t="s">
        <v>1521</v>
      </c>
      <c r="H163" s="33" t="s">
        <v>1522</v>
      </c>
      <c r="I163" s="33" t="s">
        <v>125</v>
      </c>
      <c r="J163" s="33">
        <v>1</v>
      </c>
    </row>
    <row r="164" spans="1:10" ht="124.8">
      <c r="A164" s="34">
        <v>82398</v>
      </c>
      <c r="B164" s="35" t="s">
        <v>277</v>
      </c>
      <c r="C164" s="36" t="s">
        <v>1523</v>
      </c>
      <c r="D164" s="35" t="s">
        <v>1524</v>
      </c>
      <c r="F164" s="33" t="s">
        <v>1520</v>
      </c>
      <c r="G164" s="33" t="s">
        <v>1525</v>
      </c>
      <c r="H164" s="33" t="s">
        <v>1526</v>
      </c>
      <c r="I164" s="33" t="s">
        <v>125</v>
      </c>
      <c r="J164" s="33">
        <v>1</v>
      </c>
    </row>
    <row r="165" spans="1:10" ht="140.4">
      <c r="A165" s="34">
        <v>82397</v>
      </c>
      <c r="B165" s="35" t="s">
        <v>277</v>
      </c>
      <c r="C165" s="36" t="s">
        <v>1527</v>
      </c>
      <c r="D165" s="35" t="s">
        <v>1528</v>
      </c>
      <c r="F165" s="33" t="s">
        <v>1529</v>
      </c>
      <c r="G165" s="33" t="s">
        <v>1530</v>
      </c>
      <c r="H165" s="33">
        <v>1</v>
      </c>
      <c r="I165" s="33" t="s">
        <v>124</v>
      </c>
      <c r="J165" s="33">
        <v>1</v>
      </c>
    </row>
    <row r="166" spans="1:10" ht="78">
      <c r="A166" s="34">
        <v>82396</v>
      </c>
      <c r="B166" s="35" t="s">
        <v>980</v>
      </c>
      <c r="C166" s="36" t="s">
        <v>1531</v>
      </c>
      <c r="D166" s="35" t="s">
        <v>1532</v>
      </c>
      <c r="F166" s="33" t="s">
        <v>1533</v>
      </c>
      <c r="G166" s="33" t="s">
        <v>1534</v>
      </c>
      <c r="H166" s="33" t="s">
        <v>1535</v>
      </c>
      <c r="I166" s="33" t="s">
        <v>125</v>
      </c>
      <c r="J166" s="33">
        <v>1</v>
      </c>
    </row>
    <row r="167" spans="1:10" ht="93.6">
      <c r="A167" s="34">
        <v>82395</v>
      </c>
      <c r="B167" s="35" t="s">
        <v>277</v>
      </c>
      <c r="C167" s="36" t="s">
        <v>1536</v>
      </c>
      <c r="D167" s="35" t="s">
        <v>1537</v>
      </c>
      <c r="F167" s="33" t="s">
        <v>1538</v>
      </c>
      <c r="G167" s="33" t="s">
        <v>1539</v>
      </c>
      <c r="H167" s="33" t="s">
        <v>1540</v>
      </c>
      <c r="I167" s="33" t="s">
        <v>124</v>
      </c>
      <c r="J167" s="33">
        <v>1</v>
      </c>
    </row>
    <row r="168" spans="1:10" ht="140.4">
      <c r="A168" s="34">
        <v>82393</v>
      </c>
      <c r="B168" s="35" t="s">
        <v>277</v>
      </c>
      <c r="C168" s="36" t="s">
        <v>1541</v>
      </c>
      <c r="D168" s="35" t="s">
        <v>931</v>
      </c>
      <c r="E168" s="35" t="s">
        <v>1542</v>
      </c>
      <c r="F168" s="33" t="s">
        <v>1543</v>
      </c>
      <c r="G168" s="33" t="s">
        <v>1544</v>
      </c>
      <c r="H168" s="33" t="s">
        <v>958</v>
      </c>
      <c r="I168" s="33" t="s">
        <v>124</v>
      </c>
      <c r="J168" s="33">
        <v>2</v>
      </c>
    </row>
    <row r="169" spans="1:10" ht="187.2">
      <c r="A169" s="34">
        <v>82392</v>
      </c>
      <c r="B169" s="35" t="s">
        <v>926</v>
      </c>
      <c r="C169" s="36" t="s">
        <v>1545</v>
      </c>
      <c r="D169" s="35" t="s">
        <v>1546</v>
      </c>
      <c r="E169" s="35" t="s">
        <v>1547</v>
      </c>
      <c r="F169" s="33" t="s">
        <v>1548</v>
      </c>
      <c r="G169" s="33" t="s">
        <v>1549</v>
      </c>
      <c r="H169" s="33" t="s">
        <v>965</v>
      </c>
      <c r="I169" s="33" t="s">
        <v>124</v>
      </c>
      <c r="J169" s="33">
        <v>4</v>
      </c>
    </row>
    <row r="170" spans="1:10" ht="78">
      <c r="A170" s="34">
        <v>82391</v>
      </c>
      <c r="B170" s="35" t="s">
        <v>277</v>
      </c>
      <c r="C170" s="36" t="s">
        <v>1550</v>
      </c>
      <c r="D170" s="35" t="s">
        <v>1551</v>
      </c>
      <c r="E170" s="35" t="s">
        <v>1552</v>
      </c>
      <c r="F170" s="33" t="s">
        <v>1553</v>
      </c>
      <c r="G170" s="33" t="s">
        <v>1554</v>
      </c>
      <c r="H170" s="33" t="s">
        <v>1555</v>
      </c>
      <c r="I170" s="33" t="s">
        <v>124</v>
      </c>
      <c r="J170" s="33">
        <v>1</v>
      </c>
    </row>
    <row r="171" spans="1:10" ht="140.4">
      <c r="A171" s="34">
        <v>82390</v>
      </c>
      <c r="B171" s="35" t="s">
        <v>277</v>
      </c>
      <c r="C171" s="36" t="s">
        <v>1550</v>
      </c>
      <c r="D171" s="35" t="s">
        <v>1556</v>
      </c>
      <c r="E171" s="35" t="s">
        <v>1552</v>
      </c>
      <c r="F171" s="33" t="s">
        <v>1557</v>
      </c>
      <c r="G171" s="33" t="s">
        <v>1558</v>
      </c>
      <c r="H171" s="33" t="s">
        <v>1559</v>
      </c>
      <c r="I171" s="33" t="s">
        <v>124</v>
      </c>
      <c r="J171" s="33">
        <v>2</v>
      </c>
    </row>
  </sheetData>
  <autoFilter ref="A2:J102"/>
  <mergeCells count="1">
    <mergeCell ref="A1:F1"/>
  </mergeCells>
  <phoneticPr fontId="47" type="noConversion"/>
  <conditionalFormatting sqref="F2">
    <cfRule type="cellIs" dxfId="72" priority="1" operator="equal">
      <formula>"Nok"</formula>
    </cfRule>
    <cfRule type="cellIs" dxfId="71" priority="2" operator="equal">
      <formula>"OK"</formula>
    </cfRule>
  </conditionalFormatting>
  <conditionalFormatting sqref="F16:F1048576">
    <cfRule type="cellIs" dxfId="70" priority="5" operator="equal">
      <formula>"Nok"</formula>
    </cfRule>
    <cfRule type="cellIs" dxfId="69" priority="6" operator="equal">
      <formula>"OK"</formula>
    </cfRule>
  </conditionalFormatting>
  <pageMargins left="0.70866141732283472" right="0.70866141732283472" top="0.74803149606299213" bottom="0.74803149606299213" header="0.31496062992125978" footer="0.31496062992125978"/>
  <pageSetup paperSize="9" orientation="landscape"/>
  <headerFooter>
    <oddHeader>&amp;L&amp;6 &amp;G</oddHeader>
    <oddFooter>&amp;C本文中的所有信息均为深圳市雄帝科技股份有限公司内部信息，不得向外传播。</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G23"/>
  <sheetViews>
    <sheetView zoomScale="85" zoomScaleNormal="85" workbookViewId="0">
      <selection activeCell="H19" sqref="H19"/>
    </sheetView>
  </sheetViews>
  <sheetFormatPr defaultColWidth="9" defaultRowHeight="20.399999999999999"/>
  <cols>
    <col min="1" max="1" width="5.109375" style="3" customWidth="1"/>
    <col min="2" max="2" width="6.33203125" style="3" customWidth="1"/>
    <col min="3" max="3" width="6.6640625" style="3" customWidth="1"/>
    <col min="4" max="4" width="61" style="4" customWidth="1"/>
    <col min="5" max="5" width="42.33203125" style="4" customWidth="1"/>
    <col min="6" max="6" width="10.33203125" style="4" customWidth="1"/>
    <col min="7" max="7" width="9" style="4" customWidth="1"/>
    <col min="8" max="16384" width="9" style="4"/>
  </cols>
  <sheetData>
    <row r="1" spans="1:7" s="1" customFormat="1" ht="19.95" customHeight="1">
      <c r="A1" s="161" t="str">
        <f ca="1">MID(CELL("filename",A2),FIND("]",CELL("filename",A2))+1,255)</f>
        <v>设备外观图</v>
      </c>
      <c r="B1" s="162"/>
      <c r="C1" s="162"/>
      <c r="D1" s="162"/>
      <c r="E1" s="162"/>
    </row>
    <row r="2" spans="1:7" s="2" customFormat="1" ht="18" customHeight="1">
      <c r="A2" s="166"/>
      <c r="B2" s="167"/>
      <c r="C2" s="167"/>
      <c r="D2" s="167"/>
      <c r="E2" s="167"/>
      <c r="F2" s="168"/>
    </row>
    <row r="3" spans="1:7" ht="20.25" customHeight="1">
      <c r="A3" s="169"/>
      <c r="B3" s="170"/>
      <c r="C3" s="170"/>
      <c r="D3" s="171"/>
      <c r="E3" s="171"/>
      <c r="F3" s="120"/>
      <c r="G3" s="9"/>
    </row>
    <row r="4" spans="1:7" ht="20.25" customHeight="1">
      <c r="A4" s="169"/>
      <c r="B4" s="170"/>
      <c r="C4" s="170"/>
      <c r="D4" s="171"/>
      <c r="E4" s="171"/>
      <c r="F4" s="120"/>
    </row>
    <row r="5" spans="1:7" ht="20.25" customHeight="1">
      <c r="A5" s="169"/>
      <c r="B5" s="170"/>
      <c r="C5" s="170"/>
      <c r="D5" s="171"/>
      <c r="E5" s="171"/>
      <c r="F5" s="120"/>
    </row>
    <row r="6" spans="1:7" ht="20.25" customHeight="1">
      <c r="A6" s="169"/>
      <c r="B6" s="170"/>
      <c r="C6" s="170"/>
      <c r="D6" s="171"/>
      <c r="E6" s="171"/>
      <c r="F6" s="120"/>
    </row>
    <row r="7" spans="1:7" ht="20.25" customHeight="1">
      <c r="A7" s="169"/>
      <c r="B7" s="170"/>
      <c r="C7" s="170"/>
      <c r="D7" s="171"/>
      <c r="E7" s="171"/>
      <c r="F7" s="120"/>
    </row>
    <row r="8" spans="1:7" ht="20.25" customHeight="1">
      <c r="A8" s="169"/>
      <c r="B8" s="170"/>
      <c r="C8" s="170"/>
      <c r="D8" s="171"/>
      <c r="E8" s="171"/>
      <c r="F8" s="120"/>
    </row>
    <row r="9" spans="1:7" ht="20.25" customHeight="1">
      <c r="A9" s="169"/>
      <c r="B9" s="170"/>
      <c r="C9" s="170"/>
      <c r="D9" s="171"/>
      <c r="E9" s="171"/>
      <c r="F9" s="120"/>
    </row>
    <row r="10" spans="1:7" ht="20.25" customHeight="1">
      <c r="A10" s="169"/>
      <c r="B10" s="170"/>
      <c r="C10" s="170"/>
      <c r="D10" s="171"/>
      <c r="E10" s="171"/>
      <c r="F10" s="120"/>
    </row>
    <row r="11" spans="1:7" ht="20.25" customHeight="1">
      <c r="A11" s="169"/>
      <c r="B11" s="170"/>
      <c r="C11" s="170"/>
      <c r="D11" s="171"/>
      <c r="E11" s="171"/>
      <c r="F11" s="120"/>
    </row>
    <row r="12" spans="1:7" ht="20.25" customHeight="1">
      <c r="A12" s="169"/>
      <c r="B12" s="170"/>
      <c r="C12" s="170"/>
      <c r="D12" s="171"/>
      <c r="E12" s="171"/>
      <c r="F12" s="120"/>
    </row>
    <row r="13" spans="1:7" ht="20.25" customHeight="1">
      <c r="A13" s="169"/>
      <c r="B13" s="170"/>
      <c r="C13" s="170"/>
      <c r="D13" s="171"/>
      <c r="E13" s="171"/>
      <c r="F13" s="120"/>
    </row>
    <row r="14" spans="1:7" ht="20.25" customHeight="1">
      <c r="A14" s="169"/>
      <c r="B14" s="170"/>
      <c r="C14" s="170"/>
      <c r="D14" s="171"/>
      <c r="E14" s="171"/>
      <c r="F14" s="120"/>
    </row>
    <row r="15" spans="1:7" ht="20.25" customHeight="1">
      <c r="A15" s="169"/>
      <c r="B15" s="170"/>
      <c r="C15" s="170"/>
      <c r="D15" s="171"/>
      <c r="E15" s="171"/>
      <c r="F15" s="120"/>
    </row>
    <row r="16" spans="1:7" ht="20.25" customHeight="1">
      <c r="A16" s="169"/>
      <c r="B16" s="170"/>
      <c r="C16" s="170"/>
      <c r="D16" s="171"/>
      <c r="E16" s="171"/>
      <c r="F16" s="120"/>
    </row>
    <row r="17" spans="1:6" ht="20.25" customHeight="1">
      <c r="A17" s="169"/>
      <c r="B17" s="170"/>
      <c r="C17" s="170"/>
      <c r="D17" s="171"/>
      <c r="E17" s="171"/>
      <c r="F17" s="120"/>
    </row>
    <row r="18" spans="1:6" ht="20.25" customHeight="1">
      <c r="A18" s="169"/>
      <c r="B18" s="170"/>
      <c r="C18" s="170"/>
      <c r="D18" s="171"/>
      <c r="E18" s="171"/>
      <c r="F18" s="120"/>
    </row>
    <row r="19" spans="1:6" ht="20.25" customHeight="1">
      <c r="A19" s="169"/>
      <c r="B19" s="170"/>
      <c r="C19" s="170"/>
      <c r="D19" s="171"/>
      <c r="E19" s="171"/>
      <c r="F19" s="120"/>
    </row>
    <row r="20" spans="1:6" ht="20.25" customHeight="1">
      <c r="A20" s="169"/>
      <c r="B20" s="170"/>
      <c r="C20" s="170"/>
      <c r="D20" s="171"/>
      <c r="E20" s="171"/>
      <c r="F20" s="120"/>
    </row>
    <row r="21" spans="1:6" ht="20.25" customHeight="1">
      <c r="A21" s="169"/>
      <c r="B21" s="170"/>
      <c r="C21" s="170"/>
      <c r="D21" s="171"/>
      <c r="E21" s="171"/>
      <c r="F21" s="120"/>
    </row>
    <row r="22" spans="1:6" ht="20.25" customHeight="1">
      <c r="A22" s="169"/>
      <c r="B22" s="170"/>
      <c r="C22" s="170"/>
      <c r="D22" s="171"/>
      <c r="E22" s="171"/>
      <c r="F22" s="120"/>
    </row>
    <row r="23" spans="1:6" ht="6" customHeight="1">
      <c r="A23" s="172"/>
      <c r="B23" s="129"/>
      <c r="C23" s="129"/>
      <c r="D23" s="129"/>
      <c r="E23" s="129"/>
      <c r="F23" s="130"/>
    </row>
  </sheetData>
  <mergeCells count="2">
    <mergeCell ref="A1:E1"/>
    <mergeCell ref="A2:F23"/>
  </mergeCells>
  <phoneticPr fontId="47" type="noConversion"/>
  <pageMargins left="0.70866141732283472" right="0.70866141732283472" top="0.74803149606299213" bottom="0.74803149606299213" header="0.31496062992125978" footer="0.31496062992125978"/>
  <pageSetup paperSize="9" orientation="landscape"/>
  <headerFooter>
    <oddHeader>&amp;L&amp;6 &amp;G</oddHeader>
    <oddFooter>&amp;C本文中的所有信息均为深圳市雄帝科技股份有限公司内部信息，不得向外传播。</oddFooter>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M57"/>
  <sheetViews>
    <sheetView zoomScaleNormal="100" workbookViewId="0">
      <selection activeCell="O5" sqref="O5"/>
    </sheetView>
  </sheetViews>
  <sheetFormatPr defaultRowHeight="14.4"/>
  <cols>
    <col min="1" max="1" width="14.77734375" customWidth="1"/>
    <col min="2" max="2" width="14.44140625" customWidth="1"/>
    <col min="3" max="3" width="6.77734375" customWidth="1"/>
    <col min="4" max="4" width="7.44140625" customWidth="1"/>
    <col min="6" max="6" width="7.33203125" customWidth="1"/>
    <col min="8" max="9" width="10.109375" bestFit="1" customWidth="1"/>
    <col min="10" max="10" width="11.88671875" customWidth="1"/>
    <col min="11" max="11" width="11" customWidth="1"/>
  </cols>
  <sheetData>
    <row r="1" spans="1:13" ht="43.2" customHeight="1" thickBot="1">
      <c r="A1" s="180" t="str">
        <f ca="1">MID(CELL("filename",A2),FIND("]",CELL("filename",A2))+1,255)</f>
        <v>跑机记录表（MTBF&amp;MTTR）</v>
      </c>
      <c r="B1" s="155"/>
      <c r="C1" s="155"/>
      <c r="D1" s="155"/>
      <c r="E1" s="155"/>
      <c r="F1" s="155"/>
      <c r="G1" s="155"/>
      <c r="H1" s="155"/>
      <c r="I1" s="155"/>
      <c r="J1" s="155"/>
      <c r="K1" s="155"/>
      <c r="L1" s="155"/>
      <c r="M1" s="133"/>
    </row>
    <row r="2" spans="1:13" ht="15.45" customHeight="1" thickBot="1">
      <c r="A2" s="63"/>
      <c r="B2" s="175" t="s">
        <v>129</v>
      </c>
      <c r="C2" s="176"/>
      <c r="D2" s="176"/>
      <c r="E2" s="176"/>
      <c r="F2" s="176"/>
      <c r="G2" s="176"/>
      <c r="H2" s="176"/>
      <c r="I2" s="176"/>
      <c r="J2" s="176"/>
      <c r="K2" s="176"/>
      <c r="L2" s="176"/>
      <c r="M2" s="177"/>
    </row>
    <row r="3" spans="1:13" ht="43.95" customHeight="1" thickBot="1">
      <c r="A3" s="64" t="s">
        <v>130</v>
      </c>
      <c r="B3" s="11" t="s">
        <v>131</v>
      </c>
      <c r="C3" s="184" t="s">
        <v>132</v>
      </c>
      <c r="D3" s="185"/>
      <c r="E3" s="11" t="s">
        <v>133</v>
      </c>
      <c r="F3" s="11" t="s">
        <v>134</v>
      </c>
      <c r="G3" s="11" t="s">
        <v>135</v>
      </c>
      <c r="H3" s="11" t="s">
        <v>136</v>
      </c>
      <c r="I3" s="58" t="s">
        <v>137</v>
      </c>
      <c r="J3" s="11" t="s">
        <v>138</v>
      </c>
      <c r="K3" s="58" t="s">
        <v>139</v>
      </c>
      <c r="L3" s="173" t="s">
        <v>140</v>
      </c>
      <c r="M3" s="174"/>
    </row>
    <row r="4" spans="1:13" ht="15.45" customHeight="1" thickBot="1">
      <c r="A4" s="65">
        <f>I4/(I4+J4+K4)</f>
        <v>0.59938792419940501</v>
      </c>
      <c r="B4" s="45">
        <f>IFERROR(I4/SUM(H7:H16),I4)</f>
        <v>4.5335650065680966E-4</v>
      </c>
      <c r="C4" s="186">
        <f>IFERROR(J4/SUM(H7:H16),0)</f>
        <v>0</v>
      </c>
      <c r="D4" s="185"/>
      <c r="E4" s="46">
        <f>(((L4-SUM(K7:K16))/L4)*100)</f>
        <v>100</v>
      </c>
      <c r="F4" s="47">
        <f>L4/((I4+J4+K4)*24)</f>
        <v>3029.839264023512</v>
      </c>
      <c r="G4" s="47">
        <f>(L4/(I4*24))</f>
        <v>5054.8887318182642</v>
      </c>
      <c r="H4" s="48">
        <f>B4/(B4+C4)</f>
        <v>1</v>
      </c>
      <c r="I4" s="45">
        <f>SUM(E7:E16)</f>
        <v>4.5335650065680966E-4</v>
      </c>
      <c r="J4" s="45">
        <f>SUM(L7:L16)</f>
        <v>0</v>
      </c>
      <c r="K4" s="45">
        <f>SUM(M7:M16)</f>
        <v>3.0300925573101267E-4</v>
      </c>
      <c r="L4" s="178">
        <f>SUM(F7:F16)</f>
        <v>55</v>
      </c>
      <c r="M4" s="179"/>
    </row>
    <row r="5" spans="1:13" ht="83.25" customHeight="1" thickBot="1">
      <c r="A5" s="181" t="s">
        <v>141</v>
      </c>
      <c r="B5" s="182"/>
      <c r="C5" s="182"/>
      <c r="D5" s="182"/>
      <c r="E5" s="182"/>
      <c r="F5" s="182"/>
      <c r="G5" s="182"/>
      <c r="H5" s="182"/>
      <c r="I5" s="182"/>
      <c r="J5" s="182"/>
      <c r="K5" s="182"/>
      <c r="L5" s="182"/>
      <c r="M5" s="183"/>
    </row>
    <row r="6" spans="1:13" ht="27.45" customHeight="1" thickBot="1">
      <c r="A6" s="66" t="s">
        <v>10</v>
      </c>
      <c r="B6" s="50" t="s">
        <v>142</v>
      </c>
      <c r="C6" s="49" t="s">
        <v>143</v>
      </c>
      <c r="D6" s="51" t="s">
        <v>144</v>
      </c>
      <c r="E6" s="52" t="s">
        <v>137</v>
      </c>
      <c r="F6" s="50" t="s">
        <v>145</v>
      </c>
      <c r="G6" s="49" t="s">
        <v>146</v>
      </c>
      <c r="H6" s="50" t="s">
        <v>147</v>
      </c>
      <c r="I6" s="53" t="s">
        <v>148</v>
      </c>
      <c r="J6" s="50" t="s">
        <v>149</v>
      </c>
      <c r="K6" s="49" t="s">
        <v>150</v>
      </c>
      <c r="L6" s="50" t="s">
        <v>138</v>
      </c>
      <c r="M6" s="67" t="s">
        <v>151</v>
      </c>
    </row>
    <row r="7" spans="1:13">
      <c r="A7" s="68">
        <v>44454.761617592587</v>
      </c>
      <c r="B7" s="59">
        <v>44454.761649884262</v>
      </c>
      <c r="C7" s="100">
        <v>0</v>
      </c>
      <c r="D7" s="60">
        <v>30</v>
      </c>
      <c r="E7" s="54">
        <f t="shared" ref="E7:E38" si="0">B7-A7</f>
        <v>3.2291674870066345E-5</v>
      </c>
      <c r="F7" s="55">
        <f t="shared" ref="F7:F38" si="1">D7-C7</f>
        <v>30</v>
      </c>
      <c r="G7" s="56">
        <f t="shared" ref="G7:G38" si="2">F7/E7/24</f>
        <v>38709.667585521303</v>
      </c>
      <c r="H7" s="61">
        <v>0</v>
      </c>
      <c r="I7" s="57"/>
      <c r="J7" s="61">
        <v>1</v>
      </c>
      <c r="K7" s="62">
        <v>0</v>
      </c>
      <c r="L7" s="54" t="str">
        <f t="shared" ref="L7:L38" si="3">IF(AND(H7=1,A8&gt;0,J7=0),A8-B7,"0")</f>
        <v>0</v>
      </c>
      <c r="M7" s="54">
        <f t="shared" ref="M7:M38" si="4">IF(AND(A8&gt;0,J7=1),A8-B7,0)</f>
        <v>3.0300925573101267E-4</v>
      </c>
    </row>
    <row r="8" spans="1:13">
      <c r="A8" s="68">
        <v>44454.761952893517</v>
      </c>
      <c r="B8" s="59">
        <v>44454.762373958343</v>
      </c>
      <c r="C8" s="101">
        <f t="shared" ref="C8:C39" si="5">IF(D8&gt;0,D7,0)</f>
        <v>30</v>
      </c>
      <c r="D8" s="60">
        <v>55</v>
      </c>
      <c r="E8" s="54">
        <f t="shared" si="0"/>
        <v>4.2106482578674331E-4</v>
      </c>
      <c r="F8" s="55">
        <f t="shared" si="1"/>
        <v>25</v>
      </c>
      <c r="G8" s="56">
        <f t="shared" si="2"/>
        <v>2473.8866864985762</v>
      </c>
      <c r="H8" s="61">
        <v>0</v>
      </c>
      <c r="I8" s="57"/>
      <c r="J8" s="61">
        <v>1</v>
      </c>
      <c r="K8" s="62">
        <v>0</v>
      </c>
      <c r="L8" s="54" t="str">
        <f t="shared" si="3"/>
        <v>0</v>
      </c>
      <c r="M8" s="54">
        <f t="shared" si="4"/>
        <v>0</v>
      </c>
    </row>
    <row r="9" spans="1:13">
      <c r="A9" s="68"/>
      <c r="B9" s="59"/>
      <c r="C9" s="101">
        <f t="shared" si="5"/>
        <v>0</v>
      </c>
      <c r="D9" s="60"/>
      <c r="E9" s="54">
        <f t="shared" si="0"/>
        <v>0</v>
      </c>
      <c r="F9" s="55">
        <f t="shared" si="1"/>
        <v>0</v>
      </c>
      <c r="G9" s="56" t="e">
        <f t="shared" si="2"/>
        <v>#DIV/0!</v>
      </c>
      <c r="H9" s="61"/>
      <c r="I9" s="57"/>
      <c r="J9" s="61"/>
      <c r="K9" s="62"/>
      <c r="L9" s="54" t="str">
        <f t="shared" si="3"/>
        <v>0</v>
      </c>
      <c r="M9" s="54">
        <f t="shared" si="4"/>
        <v>0</v>
      </c>
    </row>
    <row r="10" spans="1:13">
      <c r="A10" s="68"/>
      <c r="B10" s="59"/>
      <c r="C10" s="101">
        <f t="shared" si="5"/>
        <v>0</v>
      </c>
      <c r="D10" s="60"/>
      <c r="E10" s="54">
        <f t="shared" si="0"/>
        <v>0</v>
      </c>
      <c r="F10" s="55">
        <f t="shared" si="1"/>
        <v>0</v>
      </c>
      <c r="G10" s="56" t="e">
        <f t="shared" si="2"/>
        <v>#DIV/0!</v>
      </c>
      <c r="H10" s="61"/>
      <c r="I10" s="57"/>
      <c r="J10" s="61"/>
      <c r="K10" s="62"/>
      <c r="L10" s="54" t="str">
        <f t="shared" si="3"/>
        <v>0</v>
      </c>
      <c r="M10" s="54">
        <f t="shared" si="4"/>
        <v>0</v>
      </c>
    </row>
    <row r="11" spans="1:13">
      <c r="A11" s="68"/>
      <c r="B11" s="59"/>
      <c r="C11" s="101">
        <f t="shared" si="5"/>
        <v>0</v>
      </c>
      <c r="D11" s="60"/>
      <c r="E11" s="54">
        <f t="shared" si="0"/>
        <v>0</v>
      </c>
      <c r="F11" s="55">
        <f t="shared" si="1"/>
        <v>0</v>
      </c>
      <c r="G11" s="56" t="e">
        <f t="shared" si="2"/>
        <v>#DIV/0!</v>
      </c>
      <c r="H11" s="61"/>
      <c r="I11" s="57"/>
      <c r="J11" s="61"/>
      <c r="K11" s="62"/>
      <c r="L11" s="54" t="str">
        <f t="shared" si="3"/>
        <v>0</v>
      </c>
      <c r="M11" s="54">
        <f t="shared" si="4"/>
        <v>0</v>
      </c>
    </row>
    <row r="12" spans="1:13">
      <c r="A12" s="68"/>
      <c r="B12" s="59"/>
      <c r="C12" s="101">
        <f t="shared" si="5"/>
        <v>0</v>
      </c>
      <c r="D12" s="60"/>
      <c r="E12" s="54">
        <f t="shared" si="0"/>
        <v>0</v>
      </c>
      <c r="F12" s="55">
        <f t="shared" si="1"/>
        <v>0</v>
      </c>
      <c r="G12" s="56" t="e">
        <f t="shared" si="2"/>
        <v>#DIV/0!</v>
      </c>
      <c r="H12" s="61"/>
      <c r="I12" s="57"/>
      <c r="J12" s="61"/>
      <c r="K12" s="62"/>
      <c r="L12" s="54" t="str">
        <f t="shared" si="3"/>
        <v>0</v>
      </c>
      <c r="M12" s="54">
        <f t="shared" si="4"/>
        <v>0</v>
      </c>
    </row>
    <row r="13" spans="1:13">
      <c r="A13" s="68"/>
      <c r="B13" s="59"/>
      <c r="C13" s="101">
        <f t="shared" si="5"/>
        <v>0</v>
      </c>
      <c r="D13" s="60"/>
      <c r="E13" s="54">
        <f t="shared" si="0"/>
        <v>0</v>
      </c>
      <c r="F13" s="55">
        <f t="shared" si="1"/>
        <v>0</v>
      </c>
      <c r="G13" s="56" t="e">
        <f t="shared" si="2"/>
        <v>#DIV/0!</v>
      </c>
      <c r="H13" s="61"/>
      <c r="I13" s="57"/>
      <c r="J13" s="61"/>
      <c r="K13" s="62"/>
      <c r="L13" s="54" t="str">
        <f t="shared" si="3"/>
        <v>0</v>
      </c>
      <c r="M13" s="54">
        <f t="shared" si="4"/>
        <v>0</v>
      </c>
    </row>
    <row r="14" spans="1:13">
      <c r="A14" s="68"/>
      <c r="B14" s="59"/>
      <c r="C14" s="101">
        <f t="shared" si="5"/>
        <v>0</v>
      </c>
      <c r="D14" s="60"/>
      <c r="E14" s="54">
        <f t="shared" si="0"/>
        <v>0</v>
      </c>
      <c r="F14" s="55">
        <f t="shared" si="1"/>
        <v>0</v>
      </c>
      <c r="G14" s="56" t="e">
        <f t="shared" si="2"/>
        <v>#DIV/0!</v>
      </c>
      <c r="H14" s="61"/>
      <c r="I14" s="57"/>
      <c r="J14" s="61"/>
      <c r="K14" s="62"/>
      <c r="L14" s="54" t="str">
        <f t="shared" si="3"/>
        <v>0</v>
      </c>
      <c r="M14" s="54">
        <f t="shared" si="4"/>
        <v>0</v>
      </c>
    </row>
    <row r="15" spans="1:13">
      <c r="A15" s="68"/>
      <c r="B15" s="59"/>
      <c r="C15" s="101">
        <f t="shared" si="5"/>
        <v>0</v>
      </c>
      <c r="D15" s="60"/>
      <c r="E15" s="54">
        <f t="shared" si="0"/>
        <v>0</v>
      </c>
      <c r="F15" s="55">
        <f t="shared" si="1"/>
        <v>0</v>
      </c>
      <c r="G15" s="56" t="e">
        <f t="shared" si="2"/>
        <v>#DIV/0!</v>
      </c>
      <c r="H15" s="61"/>
      <c r="I15" s="57"/>
      <c r="J15" s="61"/>
      <c r="K15" s="62"/>
      <c r="L15" s="54" t="str">
        <f t="shared" si="3"/>
        <v>0</v>
      </c>
      <c r="M15" s="54">
        <f t="shared" si="4"/>
        <v>0</v>
      </c>
    </row>
    <row r="16" spans="1:13">
      <c r="A16" s="68"/>
      <c r="B16" s="59"/>
      <c r="C16" s="101">
        <f t="shared" si="5"/>
        <v>0</v>
      </c>
      <c r="D16" s="60"/>
      <c r="E16" s="54">
        <f t="shared" si="0"/>
        <v>0</v>
      </c>
      <c r="F16" s="55">
        <f t="shared" si="1"/>
        <v>0</v>
      </c>
      <c r="G16" s="56" t="e">
        <f t="shared" si="2"/>
        <v>#DIV/0!</v>
      </c>
      <c r="H16" s="61"/>
      <c r="I16" s="57"/>
      <c r="J16" s="61"/>
      <c r="K16" s="62"/>
      <c r="L16" s="54" t="str">
        <f t="shared" si="3"/>
        <v>0</v>
      </c>
      <c r="M16" s="54">
        <f t="shared" si="4"/>
        <v>0</v>
      </c>
    </row>
    <row r="17" spans="1:13">
      <c r="A17" s="68"/>
      <c r="B17" s="59"/>
      <c r="C17" s="101">
        <f t="shared" si="5"/>
        <v>0</v>
      </c>
      <c r="D17" s="60"/>
      <c r="E17" s="54">
        <f t="shared" si="0"/>
        <v>0</v>
      </c>
      <c r="F17" s="55">
        <f t="shared" si="1"/>
        <v>0</v>
      </c>
      <c r="G17" s="56" t="e">
        <f t="shared" si="2"/>
        <v>#DIV/0!</v>
      </c>
      <c r="H17" s="61"/>
      <c r="I17" s="57"/>
      <c r="J17" s="61"/>
      <c r="K17" s="62"/>
      <c r="L17" s="54" t="str">
        <f t="shared" si="3"/>
        <v>0</v>
      </c>
      <c r="M17" s="54">
        <f t="shared" si="4"/>
        <v>0</v>
      </c>
    </row>
    <row r="18" spans="1:13">
      <c r="A18" s="68"/>
      <c r="B18" s="59"/>
      <c r="C18" s="101">
        <f t="shared" si="5"/>
        <v>0</v>
      </c>
      <c r="D18" s="60"/>
      <c r="E18" s="54">
        <f t="shared" si="0"/>
        <v>0</v>
      </c>
      <c r="F18" s="55">
        <f t="shared" si="1"/>
        <v>0</v>
      </c>
      <c r="G18" s="56" t="e">
        <f t="shared" si="2"/>
        <v>#DIV/0!</v>
      </c>
      <c r="H18" s="61"/>
      <c r="I18" s="57"/>
      <c r="J18" s="61"/>
      <c r="K18" s="62"/>
      <c r="L18" s="54" t="str">
        <f t="shared" si="3"/>
        <v>0</v>
      </c>
      <c r="M18" s="54">
        <f t="shared" si="4"/>
        <v>0</v>
      </c>
    </row>
    <row r="19" spans="1:13">
      <c r="A19" s="68"/>
      <c r="B19" s="59"/>
      <c r="C19" s="101">
        <f t="shared" si="5"/>
        <v>0</v>
      </c>
      <c r="D19" s="60"/>
      <c r="E19" s="54">
        <f t="shared" si="0"/>
        <v>0</v>
      </c>
      <c r="F19" s="55">
        <f t="shared" si="1"/>
        <v>0</v>
      </c>
      <c r="G19" s="56" t="e">
        <f t="shared" si="2"/>
        <v>#DIV/0!</v>
      </c>
      <c r="H19" s="61"/>
      <c r="I19" s="57"/>
      <c r="J19" s="61"/>
      <c r="K19" s="62"/>
      <c r="L19" s="54" t="str">
        <f t="shared" si="3"/>
        <v>0</v>
      </c>
      <c r="M19" s="54">
        <f t="shared" si="4"/>
        <v>0</v>
      </c>
    </row>
    <row r="20" spans="1:13">
      <c r="A20" s="68"/>
      <c r="B20" s="59"/>
      <c r="C20" s="101">
        <f t="shared" si="5"/>
        <v>0</v>
      </c>
      <c r="D20" s="60"/>
      <c r="E20" s="54">
        <f t="shared" si="0"/>
        <v>0</v>
      </c>
      <c r="F20" s="55">
        <f t="shared" si="1"/>
        <v>0</v>
      </c>
      <c r="G20" s="56" t="e">
        <f t="shared" si="2"/>
        <v>#DIV/0!</v>
      </c>
      <c r="H20" s="61"/>
      <c r="I20" s="57"/>
      <c r="J20" s="61"/>
      <c r="K20" s="62"/>
      <c r="L20" s="54" t="str">
        <f t="shared" si="3"/>
        <v>0</v>
      </c>
      <c r="M20" s="54">
        <f t="shared" si="4"/>
        <v>0</v>
      </c>
    </row>
    <row r="21" spans="1:13">
      <c r="A21" s="68"/>
      <c r="B21" s="59"/>
      <c r="C21" s="101">
        <f t="shared" si="5"/>
        <v>0</v>
      </c>
      <c r="D21" s="60"/>
      <c r="E21" s="54">
        <f t="shared" si="0"/>
        <v>0</v>
      </c>
      <c r="F21" s="55">
        <f t="shared" si="1"/>
        <v>0</v>
      </c>
      <c r="G21" s="56" t="e">
        <f t="shared" si="2"/>
        <v>#DIV/0!</v>
      </c>
      <c r="H21" s="61"/>
      <c r="I21" s="57"/>
      <c r="J21" s="61"/>
      <c r="K21" s="62"/>
      <c r="L21" s="54" t="str">
        <f t="shared" si="3"/>
        <v>0</v>
      </c>
      <c r="M21" s="54">
        <f t="shared" si="4"/>
        <v>0</v>
      </c>
    </row>
    <row r="22" spans="1:13">
      <c r="A22" s="68"/>
      <c r="B22" s="59"/>
      <c r="C22" s="101">
        <f t="shared" si="5"/>
        <v>0</v>
      </c>
      <c r="D22" s="60"/>
      <c r="E22" s="54">
        <f t="shared" si="0"/>
        <v>0</v>
      </c>
      <c r="F22" s="55">
        <f t="shared" si="1"/>
        <v>0</v>
      </c>
      <c r="G22" s="56" t="e">
        <f t="shared" si="2"/>
        <v>#DIV/0!</v>
      </c>
      <c r="H22" s="61"/>
      <c r="I22" s="57"/>
      <c r="J22" s="61"/>
      <c r="K22" s="62"/>
      <c r="L22" s="54" t="str">
        <f t="shared" si="3"/>
        <v>0</v>
      </c>
      <c r="M22" s="54">
        <f t="shared" si="4"/>
        <v>0</v>
      </c>
    </row>
    <row r="23" spans="1:13">
      <c r="A23" s="68"/>
      <c r="B23" s="59"/>
      <c r="C23" s="101">
        <f t="shared" si="5"/>
        <v>0</v>
      </c>
      <c r="D23" s="60"/>
      <c r="E23" s="54">
        <f t="shared" si="0"/>
        <v>0</v>
      </c>
      <c r="F23" s="55">
        <f t="shared" si="1"/>
        <v>0</v>
      </c>
      <c r="G23" s="56" t="e">
        <f t="shared" si="2"/>
        <v>#DIV/0!</v>
      </c>
      <c r="H23" s="61"/>
      <c r="I23" s="57"/>
      <c r="J23" s="61"/>
      <c r="K23" s="62"/>
      <c r="L23" s="54" t="str">
        <f t="shared" si="3"/>
        <v>0</v>
      </c>
      <c r="M23" s="54">
        <f t="shared" si="4"/>
        <v>0</v>
      </c>
    </row>
    <row r="24" spans="1:13">
      <c r="A24" s="68"/>
      <c r="B24" s="59"/>
      <c r="C24" s="101">
        <f t="shared" si="5"/>
        <v>0</v>
      </c>
      <c r="D24" s="60"/>
      <c r="E24" s="54">
        <f t="shared" si="0"/>
        <v>0</v>
      </c>
      <c r="F24" s="55">
        <f t="shared" si="1"/>
        <v>0</v>
      </c>
      <c r="G24" s="56" t="e">
        <f t="shared" si="2"/>
        <v>#DIV/0!</v>
      </c>
      <c r="H24" s="61"/>
      <c r="I24" s="57"/>
      <c r="J24" s="61"/>
      <c r="K24" s="62"/>
      <c r="L24" s="54" t="str">
        <f t="shared" si="3"/>
        <v>0</v>
      </c>
      <c r="M24" s="54">
        <f t="shared" si="4"/>
        <v>0</v>
      </c>
    </row>
    <row r="25" spans="1:13">
      <c r="A25" s="68"/>
      <c r="B25" s="59"/>
      <c r="C25" s="101">
        <f t="shared" si="5"/>
        <v>0</v>
      </c>
      <c r="D25" s="60"/>
      <c r="E25" s="54">
        <f t="shared" si="0"/>
        <v>0</v>
      </c>
      <c r="F25" s="55">
        <f t="shared" si="1"/>
        <v>0</v>
      </c>
      <c r="G25" s="56" t="e">
        <f t="shared" si="2"/>
        <v>#DIV/0!</v>
      </c>
      <c r="H25" s="61"/>
      <c r="I25" s="57"/>
      <c r="J25" s="61"/>
      <c r="K25" s="62"/>
      <c r="L25" s="54" t="str">
        <f t="shared" si="3"/>
        <v>0</v>
      </c>
      <c r="M25" s="54">
        <f t="shared" si="4"/>
        <v>0</v>
      </c>
    </row>
    <row r="26" spans="1:13">
      <c r="A26" s="68"/>
      <c r="B26" s="59"/>
      <c r="C26" s="101">
        <f t="shared" si="5"/>
        <v>0</v>
      </c>
      <c r="D26" s="60"/>
      <c r="E26" s="54">
        <f t="shared" si="0"/>
        <v>0</v>
      </c>
      <c r="F26" s="55">
        <f t="shared" si="1"/>
        <v>0</v>
      </c>
      <c r="G26" s="56" t="e">
        <f t="shared" si="2"/>
        <v>#DIV/0!</v>
      </c>
      <c r="H26" s="61"/>
      <c r="I26" s="57"/>
      <c r="J26" s="61"/>
      <c r="K26" s="62"/>
      <c r="L26" s="54" t="str">
        <f t="shared" si="3"/>
        <v>0</v>
      </c>
      <c r="M26" s="54">
        <f t="shared" si="4"/>
        <v>0</v>
      </c>
    </row>
    <row r="27" spans="1:13">
      <c r="A27" s="68"/>
      <c r="B27" s="59"/>
      <c r="C27" s="101">
        <f t="shared" si="5"/>
        <v>0</v>
      </c>
      <c r="D27" s="60"/>
      <c r="E27" s="54">
        <f t="shared" si="0"/>
        <v>0</v>
      </c>
      <c r="F27" s="55">
        <f t="shared" si="1"/>
        <v>0</v>
      </c>
      <c r="G27" s="56" t="e">
        <f t="shared" si="2"/>
        <v>#DIV/0!</v>
      </c>
      <c r="H27" s="61"/>
      <c r="I27" s="57"/>
      <c r="J27" s="61"/>
      <c r="K27" s="62"/>
      <c r="L27" s="54" t="str">
        <f t="shared" si="3"/>
        <v>0</v>
      </c>
      <c r="M27" s="54">
        <f t="shared" si="4"/>
        <v>0</v>
      </c>
    </row>
    <row r="28" spans="1:13">
      <c r="A28" s="68"/>
      <c r="B28" s="59"/>
      <c r="C28" s="101">
        <f t="shared" si="5"/>
        <v>0</v>
      </c>
      <c r="D28" s="60"/>
      <c r="E28" s="54">
        <f t="shared" si="0"/>
        <v>0</v>
      </c>
      <c r="F28" s="55">
        <f t="shared" si="1"/>
        <v>0</v>
      </c>
      <c r="G28" s="56" t="e">
        <f t="shared" si="2"/>
        <v>#DIV/0!</v>
      </c>
      <c r="H28" s="61"/>
      <c r="I28" s="57"/>
      <c r="J28" s="61"/>
      <c r="K28" s="62"/>
      <c r="L28" s="54" t="str">
        <f t="shared" si="3"/>
        <v>0</v>
      </c>
      <c r="M28" s="54">
        <f t="shared" si="4"/>
        <v>0</v>
      </c>
    </row>
    <row r="29" spans="1:13">
      <c r="A29" s="68"/>
      <c r="B29" s="59"/>
      <c r="C29" s="101">
        <f t="shared" si="5"/>
        <v>0</v>
      </c>
      <c r="D29" s="60"/>
      <c r="E29" s="54">
        <f t="shared" si="0"/>
        <v>0</v>
      </c>
      <c r="F29" s="55">
        <f t="shared" si="1"/>
        <v>0</v>
      </c>
      <c r="G29" s="56" t="e">
        <f t="shared" si="2"/>
        <v>#DIV/0!</v>
      </c>
      <c r="H29" s="61"/>
      <c r="I29" s="57"/>
      <c r="J29" s="61"/>
      <c r="K29" s="62"/>
      <c r="L29" s="54" t="str">
        <f t="shared" si="3"/>
        <v>0</v>
      </c>
      <c r="M29" s="54">
        <f t="shared" si="4"/>
        <v>0</v>
      </c>
    </row>
    <row r="30" spans="1:13">
      <c r="A30" s="68"/>
      <c r="B30" s="59"/>
      <c r="C30" s="101">
        <f t="shared" si="5"/>
        <v>0</v>
      </c>
      <c r="D30" s="60"/>
      <c r="E30" s="54">
        <f t="shared" si="0"/>
        <v>0</v>
      </c>
      <c r="F30" s="55">
        <f t="shared" si="1"/>
        <v>0</v>
      </c>
      <c r="G30" s="56" t="e">
        <f t="shared" si="2"/>
        <v>#DIV/0!</v>
      </c>
      <c r="H30" s="61"/>
      <c r="I30" s="57"/>
      <c r="J30" s="61"/>
      <c r="K30" s="62"/>
      <c r="L30" s="54" t="str">
        <f t="shared" si="3"/>
        <v>0</v>
      </c>
      <c r="M30" s="54">
        <f t="shared" si="4"/>
        <v>0</v>
      </c>
    </row>
    <row r="31" spans="1:13">
      <c r="A31" s="68"/>
      <c r="B31" s="59"/>
      <c r="C31" s="101">
        <f t="shared" si="5"/>
        <v>0</v>
      </c>
      <c r="D31" s="60"/>
      <c r="E31" s="54">
        <f t="shared" si="0"/>
        <v>0</v>
      </c>
      <c r="F31" s="55">
        <f t="shared" si="1"/>
        <v>0</v>
      </c>
      <c r="G31" s="56" t="e">
        <f t="shared" si="2"/>
        <v>#DIV/0!</v>
      </c>
      <c r="H31" s="61"/>
      <c r="I31" s="57"/>
      <c r="J31" s="61"/>
      <c r="K31" s="62"/>
      <c r="L31" s="54" t="str">
        <f t="shared" si="3"/>
        <v>0</v>
      </c>
      <c r="M31" s="54">
        <f t="shared" si="4"/>
        <v>0</v>
      </c>
    </row>
    <row r="32" spans="1:13">
      <c r="A32" s="68"/>
      <c r="B32" s="59"/>
      <c r="C32" s="101">
        <f t="shared" si="5"/>
        <v>0</v>
      </c>
      <c r="D32" s="60"/>
      <c r="E32" s="54">
        <f t="shared" si="0"/>
        <v>0</v>
      </c>
      <c r="F32" s="55">
        <f t="shared" si="1"/>
        <v>0</v>
      </c>
      <c r="G32" s="56" t="e">
        <f t="shared" si="2"/>
        <v>#DIV/0!</v>
      </c>
      <c r="H32" s="61"/>
      <c r="I32" s="57"/>
      <c r="J32" s="61"/>
      <c r="K32" s="62"/>
      <c r="L32" s="54" t="str">
        <f t="shared" si="3"/>
        <v>0</v>
      </c>
      <c r="M32" s="54">
        <f t="shared" si="4"/>
        <v>0</v>
      </c>
    </row>
    <row r="33" spans="1:13">
      <c r="A33" s="68"/>
      <c r="B33" s="59"/>
      <c r="C33" s="101">
        <f t="shared" si="5"/>
        <v>0</v>
      </c>
      <c r="D33" s="60"/>
      <c r="E33" s="54">
        <f t="shared" si="0"/>
        <v>0</v>
      </c>
      <c r="F33" s="55">
        <f t="shared" si="1"/>
        <v>0</v>
      </c>
      <c r="G33" s="56" t="e">
        <f t="shared" si="2"/>
        <v>#DIV/0!</v>
      </c>
      <c r="H33" s="61"/>
      <c r="I33" s="57"/>
      <c r="J33" s="61"/>
      <c r="K33" s="62"/>
      <c r="L33" s="54" t="str">
        <f t="shared" si="3"/>
        <v>0</v>
      </c>
      <c r="M33" s="54">
        <f t="shared" si="4"/>
        <v>0</v>
      </c>
    </row>
    <row r="34" spans="1:13">
      <c r="A34" s="68"/>
      <c r="B34" s="59"/>
      <c r="C34" s="101">
        <f t="shared" si="5"/>
        <v>0</v>
      </c>
      <c r="D34" s="60"/>
      <c r="E34" s="54">
        <f t="shared" si="0"/>
        <v>0</v>
      </c>
      <c r="F34" s="55">
        <f t="shared" si="1"/>
        <v>0</v>
      </c>
      <c r="G34" s="56" t="e">
        <f t="shared" si="2"/>
        <v>#DIV/0!</v>
      </c>
      <c r="H34" s="61"/>
      <c r="I34" s="57"/>
      <c r="J34" s="61"/>
      <c r="K34" s="62"/>
      <c r="L34" s="54" t="str">
        <f t="shared" si="3"/>
        <v>0</v>
      </c>
      <c r="M34" s="54">
        <f t="shared" si="4"/>
        <v>0</v>
      </c>
    </row>
    <row r="35" spans="1:13">
      <c r="A35" s="68"/>
      <c r="B35" s="59"/>
      <c r="C35" s="101">
        <f t="shared" si="5"/>
        <v>0</v>
      </c>
      <c r="D35" s="60"/>
      <c r="E35" s="54">
        <f t="shared" si="0"/>
        <v>0</v>
      </c>
      <c r="F35" s="55">
        <f t="shared" si="1"/>
        <v>0</v>
      </c>
      <c r="G35" s="56" t="e">
        <f t="shared" si="2"/>
        <v>#DIV/0!</v>
      </c>
      <c r="H35" s="61"/>
      <c r="I35" s="57"/>
      <c r="J35" s="61"/>
      <c r="K35" s="62"/>
      <c r="L35" s="54" t="str">
        <f t="shared" si="3"/>
        <v>0</v>
      </c>
      <c r="M35" s="54">
        <f t="shared" si="4"/>
        <v>0</v>
      </c>
    </row>
    <row r="36" spans="1:13">
      <c r="A36" s="68"/>
      <c r="B36" s="59"/>
      <c r="C36" s="101">
        <f t="shared" si="5"/>
        <v>0</v>
      </c>
      <c r="D36" s="60"/>
      <c r="E36" s="54">
        <f t="shared" si="0"/>
        <v>0</v>
      </c>
      <c r="F36" s="55">
        <f t="shared" si="1"/>
        <v>0</v>
      </c>
      <c r="G36" s="56" t="e">
        <f t="shared" si="2"/>
        <v>#DIV/0!</v>
      </c>
      <c r="H36" s="61"/>
      <c r="I36" s="57"/>
      <c r="J36" s="61"/>
      <c r="K36" s="62"/>
      <c r="L36" s="54" t="str">
        <f t="shared" si="3"/>
        <v>0</v>
      </c>
      <c r="M36" s="54">
        <f t="shared" si="4"/>
        <v>0</v>
      </c>
    </row>
    <row r="37" spans="1:13">
      <c r="A37" s="68"/>
      <c r="B37" s="59"/>
      <c r="C37" s="101">
        <f t="shared" si="5"/>
        <v>0</v>
      </c>
      <c r="D37" s="60"/>
      <c r="E37" s="54">
        <f t="shared" si="0"/>
        <v>0</v>
      </c>
      <c r="F37" s="55">
        <f t="shared" si="1"/>
        <v>0</v>
      </c>
      <c r="G37" s="56" t="e">
        <f t="shared" si="2"/>
        <v>#DIV/0!</v>
      </c>
      <c r="H37" s="61"/>
      <c r="I37" s="57"/>
      <c r="J37" s="61"/>
      <c r="K37" s="62"/>
      <c r="L37" s="54" t="str">
        <f t="shared" si="3"/>
        <v>0</v>
      </c>
      <c r="M37" s="54">
        <f t="shared" si="4"/>
        <v>0</v>
      </c>
    </row>
    <row r="38" spans="1:13">
      <c r="A38" s="68"/>
      <c r="B38" s="59"/>
      <c r="C38" s="101">
        <f t="shared" si="5"/>
        <v>0</v>
      </c>
      <c r="D38" s="60"/>
      <c r="E38" s="54">
        <f t="shared" si="0"/>
        <v>0</v>
      </c>
      <c r="F38" s="55">
        <f t="shared" si="1"/>
        <v>0</v>
      </c>
      <c r="G38" s="56" t="e">
        <f t="shared" si="2"/>
        <v>#DIV/0!</v>
      </c>
      <c r="H38" s="61"/>
      <c r="I38" s="57"/>
      <c r="J38" s="61"/>
      <c r="K38" s="62"/>
      <c r="L38" s="54" t="str">
        <f t="shared" si="3"/>
        <v>0</v>
      </c>
      <c r="M38" s="54">
        <f t="shared" si="4"/>
        <v>0</v>
      </c>
    </row>
    <row r="39" spans="1:13">
      <c r="A39" s="68"/>
      <c r="B39" s="59"/>
      <c r="C39" s="101">
        <f t="shared" si="5"/>
        <v>0</v>
      </c>
      <c r="D39" s="60"/>
      <c r="E39" s="54">
        <f t="shared" ref="E39:E57" si="6">B39-A39</f>
        <v>0</v>
      </c>
      <c r="F39" s="55">
        <f t="shared" ref="F39:F57" si="7">D39-C39</f>
        <v>0</v>
      </c>
      <c r="G39" s="56" t="e">
        <f t="shared" ref="G39:G57" si="8">F39/E39/24</f>
        <v>#DIV/0!</v>
      </c>
      <c r="H39" s="61"/>
      <c r="I39" s="57"/>
      <c r="J39" s="61"/>
      <c r="K39" s="62"/>
      <c r="L39" s="54" t="str">
        <f t="shared" ref="L39:L57" si="9">IF(AND(H39=1,A40&gt;0,J39=0),A40-B39,"0")</f>
        <v>0</v>
      </c>
      <c r="M39" s="54">
        <f t="shared" ref="M39:M57" si="10">IF(AND(A40&gt;0,J39=1),A40-B39,0)</f>
        <v>0</v>
      </c>
    </row>
    <row r="40" spans="1:13">
      <c r="A40" s="68"/>
      <c r="B40" s="59"/>
      <c r="C40" s="101">
        <f t="shared" ref="C40:C57" si="11">IF(D40&gt;0,D39,0)</f>
        <v>0</v>
      </c>
      <c r="D40" s="60"/>
      <c r="E40" s="54">
        <f t="shared" si="6"/>
        <v>0</v>
      </c>
      <c r="F40" s="55">
        <f t="shared" si="7"/>
        <v>0</v>
      </c>
      <c r="G40" s="56" t="e">
        <f t="shared" si="8"/>
        <v>#DIV/0!</v>
      </c>
      <c r="H40" s="61"/>
      <c r="I40" s="57"/>
      <c r="J40" s="61"/>
      <c r="K40" s="62"/>
      <c r="L40" s="54" t="str">
        <f t="shared" si="9"/>
        <v>0</v>
      </c>
      <c r="M40" s="54">
        <f t="shared" si="10"/>
        <v>0</v>
      </c>
    </row>
    <row r="41" spans="1:13">
      <c r="A41" s="68"/>
      <c r="B41" s="59"/>
      <c r="C41" s="101">
        <f t="shared" si="11"/>
        <v>0</v>
      </c>
      <c r="D41" s="60"/>
      <c r="E41" s="54">
        <f t="shared" si="6"/>
        <v>0</v>
      </c>
      <c r="F41" s="55">
        <f t="shared" si="7"/>
        <v>0</v>
      </c>
      <c r="G41" s="56" t="e">
        <f t="shared" si="8"/>
        <v>#DIV/0!</v>
      </c>
      <c r="H41" s="61"/>
      <c r="I41" s="57"/>
      <c r="J41" s="61"/>
      <c r="K41" s="62"/>
      <c r="L41" s="54" t="str">
        <f t="shared" si="9"/>
        <v>0</v>
      </c>
      <c r="M41" s="54">
        <f t="shared" si="10"/>
        <v>0</v>
      </c>
    </row>
    <row r="42" spans="1:13">
      <c r="A42" s="68"/>
      <c r="B42" s="59"/>
      <c r="C42" s="101">
        <f t="shared" si="11"/>
        <v>0</v>
      </c>
      <c r="D42" s="60"/>
      <c r="E42" s="54">
        <f t="shared" si="6"/>
        <v>0</v>
      </c>
      <c r="F42" s="55">
        <f t="shared" si="7"/>
        <v>0</v>
      </c>
      <c r="G42" s="56" t="e">
        <f t="shared" si="8"/>
        <v>#DIV/0!</v>
      </c>
      <c r="H42" s="61"/>
      <c r="I42" s="57"/>
      <c r="J42" s="61"/>
      <c r="K42" s="62"/>
      <c r="L42" s="54" t="str">
        <f t="shared" si="9"/>
        <v>0</v>
      </c>
      <c r="M42" s="54">
        <f t="shared" si="10"/>
        <v>0</v>
      </c>
    </row>
    <row r="43" spans="1:13">
      <c r="A43" s="68"/>
      <c r="B43" s="59"/>
      <c r="C43" s="101">
        <f t="shared" si="11"/>
        <v>0</v>
      </c>
      <c r="D43" s="60"/>
      <c r="E43" s="54">
        <f t="shared" si="6"/>
        <v>0</v>
      </c>
      <c r="F43" s="55">
        <f t="shared" si="7"/>
        <v>0</v>
      </c>
      <c r="G43" s="56" t="e">
        <f t="shared" si="8"/>
        <v>#DIV/0!</v>
      </c>
      <c r="H43" s="61"/>
      <c r="I43" s="57"/>
      <c r="J43" s="61"/>
      <c r="K43" s="62"/>
      <c r="L43" s="54" t="str">
        <f t="shared" si="9"/>
        <v>0</v>
      </c>
      <c r="M43" s="54">
        <f t="shared" si="10"/>
        <v>0</v>
      </c>
    </row>
    <row r="44" spans="1:13">
      <c r="A44" s="68"/>
      <c r="B44" s="59"/>
      <c r="C44" s="101">
        <f t="shared" si="11"/>
        <v>0</v>
      </c>
      <c r="D44" s="60"/>
      <c r="E44" s="54">
        <f t="shared" si="6"/>
        <v>0</v>
      </c>
      <c r="F44" s="55">
        <f t="shared" si="7"/>
        <v>0</v>
      </c>
      <c r="G44" s="56" t="e">
        <f t="shared" si="8"/>
        <v>#DIV/0!</v>
      </c>
      <c r="H44" s="61"/>
      <c r="I44" s="57"/>
      <c r="J44" s="61"/>
      <c r="K44" s="62"/>
      <c r="L44" s="54" t="str">
        <f t="shared" si="9"/>
        <v>0</v>
      </c>
      <c r="M44" s="54">
        <f t="shared" si="10"/>
        <v>0</v>
      </c>
    </row>
    <row r="45" spans="1:13">
      <c r="A45" s="68"/>
      <c r="B45" s="59"/>
      <c r="C45" s="101">
        <f t="shared" si="11"/>
        <v>0</v>
      </c>
      <c r="D45" s="60"/>
      <c r="E45" s="54">
        <f t="shared" si="6"/>
        <v>0</v>
      </c>
      <c r="F45" s="55">
        <f t="shared" si="7"/>
        <v>0</v>
      </c>
      <c r="G45" s="56" t="e">
        <f t="shared" si="8"/>
        <v>#DIV/0!</v>
      </c>
      <c r="H45" s="61"/>
      <c r="I45" s="57"/>
      <c r="J45" s="61"/>
      <c r="K45" s="62"/>
      <c r="L45" s="54" t="str">
        <f t="shared" si="9"/>
        <v>0</v>
      </c>
      <c r="M45" s="54">
        <f t="shared" si="10"/>
        <v>0</v>
      </c>
    </row>
    <row r="46" spans="1:13">
      <c r="A46" s="68"/>
      <c r="B46" s="59"/>
      <c r="C46" s="101">
        <f t="shared" si="11"/>
        <v>0</v>
      </c>
      <c r="D46" s="60"/>
      <c r="E46" s="54">
        <f t="shared" si="6"/>
        <v>0</v>
      </c>
      <c r="F46" s="55">
        <f t="shared" si="7"/>
        <v>0</v>
      </c>
      <c r="G46" s="56" t="e">
        <f t="shared" si="8"/>
        <v>#DIV/0!</v>
      </c>
      <c r="H46" s="61"/>
      <c r="I46" s="57"/>
      <c r="J46" s="61"/>
      <c r="K46" s="62"/>
      <c r="L46" s="54" t="str">
        <f t="shared" si="9"/>
        <v>0</v>
      </c>
      <c r="M46" s="54">
        <f t="shared" si="10"/>
        <v>0</v>
      </c>
    </row>
    <row r="47" spans="1:13">
      <c r="A47" s="68"/>
      <c r="B47" s="59"/>
      <c r="C47" s="101">
        <f t="shared" si="11"/>
        <v>0</v>
      </c>
      <c r="D47" s="60"/>
      <c r="E47" s="54">
        <f t="shared" si="6"/>
        <v>0</v>
      </c>
      <c r="F47" s="55">
        <f t="shared" si="7"/>
        <v>0</v>
      </c>
      <c r="G47" s="56" t="e">
        <f t="shared" si="8"/>
        <v>#DIV/0!</v>
      </c>
      <c r="H47" s="61"/>
      <c r="I47" s="57"/>
      <c r="J47" s="61"/>
      <c r="K47" s="62"/>
      <c r="L47" s="54" t="str">
        <f t="shared" si="9"/>
        <v>0</v>
      </c>
      <c r="M47" s="54">
        <f t="shared" si="10"/>
        <v>0</v>
      </c>
    </row>
    <row r="48" spans="1:13">
      <c r="A48" s="68"/>
      <c r="B48" s="59"/>
      <c r="C48" s="101">
        <f t="shared" si="11"/>
        <v>0</v>
      </c>
      <c r="D48" s="60"/>
      <c r="E48" s="54">
        <f t="shared" si="6"/>
        <v>0</v>
      </c>
      <c r="F48" s="55">
        <f t="shared" si="7"/>
        <v>0</v>
      </c>
      <c r="G48" s="56" t="e">
        <f t="shared" si="8"/>
        <v>#DIV/0!</v>
      </c>
      <c r="H48" s="61"/>
      <c r="I48" s="57"/>
      <c r="J48" s="61"/>
      <c r="K48" s="62"/>
      <c r="L48" s="54" t="str">
        <f t="shared" si="9"/>
        <v>0</v>
      </c>
      <c r="M48" s="54">
        <f t="shared" si="10"/>
        <v>0</v>
      </c>
    </row>
    <row r="49" spans="1:13">
      <c r="A49" s="68"/>
      <c r="B49" s="59"/>
      <c r="C49" s="101">
        <f t="shared" si="11"/>
        <v>0</v>
      </c>
      <c r="D49" s="60"/>
      <c r="E49" s="54">
        <f t="shared" si="6"/>
        <v>0</v>
      </c>
      <c r="F49" s="55">
        <f t="shared" si="7"/>
        <v>0</v>
      </c>
      <c r="G49" s="56" t="e">
        <f t="shared" si="8"/>
        <v>#DIV/0!</v>
      </c>
      <c r="H49" s="61"/>
      <c r="I49" s="57"/>
      <c r="J49" s="61"/>
      <c r="K49" s="62"/>
      <c r="L49" s="54" t="str">
        <f t="shared" si="9"/>
        <v>0</v>
      </c>
      <c r="M49" s="54">
        <f t="shared" si="10"/>
        <v>0</v>
      </c>
    </row>
    <row r="50" spans="1:13">
      <c r="A50" s="68"/>
      <c r="B50" s="59"/>
      <c r="C50" s="101">
        <f t="shared" si="11"/>
        <v>0</v>
      </c>
      <c r="D50" s="60"/>
      <c r="E50" s="54">
        <f t="shared" si="6"/>
        <v>0</v>
      </c>
      <c r="F50" s="55">
        <f t="shared" si="7"/>
        <v>0</v>
      </c>
      <c r="G50" s="56" t="e">
        <f t="shared" si="8"/>
        <v>#DIV/0!</v>
      </c>
      <c r="H50" s="61"/>
      <c r="I50" s="57"/>
      <c r="J50" s="61"/>
      <c r="K50" s="62"/>
      <c r="L50" s="54" t="str">
        <f t="shared" si="9"/>
        <v>0</v>
      </c>
      <c r="M50" s="54">
        <f t="shared" si="10"/>
        <v>0</v>
      </c>
    </row>
    <row r="51" spans="1:13">
      <c r="A51" s="68"/>
      <c r="B51" s="59"/>
      <c r="C51" s="101">
        <f t="shared" si="11"/>
        <v>0</v>
      </c>
      <c r="D51" s="60"/>
      <c r="E51" s="54">
        <f t="shared" si="6"/>
        <v>0</v>
      </c>
      <c r="F51" s="55">
        <f t="shared" si="7"/>
        <v>0</v>
      </c>
      <c r="G51" s="56" t="e">
        <f t="shared" si="8"/>
        <v>#DIV/0!</v>
      </c>
      <c r="H51" s="61"/>
      <c r="I51" s="57"/>
      <c r="J51" s="61"/>
      <c r="K51" s="62"/>
      <c r="L51" s="54" t="str">
        <f t="shared" si="9"/>
        <v>0</v>
      </c>
      <c r="M51" s="54">
        <f t="shared" si="10"/>
        <v>0</v>
      </c>
    </row>
    <row r="52" spans="1:13">
      <c r="A52" s="68"/>
      <c r="B52" s="59"/>
      <c r="C52" s="101">
        <f t="shared" si="11"/>
        <v>0</v>
      </c>
      <c r="D52" s="60"/>
      <c r="E52" s="54">
        <f t="shared" si="6"/>
        <v>0</v>
      </c>
      <c r="F52" s="55">
        <f t="shared" si="7"/>
        <v>0</v>
      </c>
      <c r="G52" s="56" t="e">
        <f t="shared" si="8"/>
        <v>#DIV/0!</v>
      </c>
      <c r="H52" s="61"/>
      <c r="I52" s="57"/>
      <c r="J52" s="61"/>
      <c r="K52" s="62"/>
      <c r="L52" s="54" t="str">
        <f t="shared" si="9"/>
        <v>0</v>
      </c>
      <c r="M52" s="54">
        <f t="shared" si="10"/>
        <v>0</v>
      </c>
    </row>
    <row r="53" spans="1:13">
      <c r="A53" s="68"/>
      <c r="B53" s="59"/>
      <c r="C53" s="101">
        <f t="shared" si="11"/>
        <v>0</v>
      </c>
      <c r="D53" s="60"/>
      <c r="E53" s="54">
        <f t="shared" si="6"/>
        <v>0</v>
      </c>
      <c r="F53" s="55">
        <f t="shared" si="7"/>
        <v>0</v>
      </c>
      <c r="G53" s="56" t="e">
        <f t="shared" si="8"/>
        <v>#DIV/0!</v>
      </c>
      <c r="H53" s="61"/>
      <c r="I53" s="57"/>
      <c r="J53" s="61"/>
      <c r="K53" s="62"/>
      <c r="L53" s="54" t="str">
        <f t="shared" si="9"/>
        <v>0</v>
      </c>
      <c r="M53" s="54">
        <f t="shared" si="10"/>
        <v>0</v>
      </c>
    </row>
    <row r="54" spans="1:13">
      <c r="A54" s="68"/>
      <c r="B54" s="59"/>
      <c r="C54" s="101">
        <f t="shared" si="11"/>
        <v>0</v>
      </c>
      <c r="D54" s="60"/>
      <c r="E54" s="54">
        <f t="shared" si="6"/>
        <v>0</v>
      </c>
      <c r="F54" s="55">
        <f t="shared" si="7"/>
        <v>0</v>
      </c>
      <c r="G54" s="56" t="e">
        <f t="shared" si="8"/>
        <v>#DIV/0!</v>
      </c>
      <c r="H54" s="61"/>
      <c r="I54" s="57"/>
      <c r="J54" s="61"/>
      <c r="K54" s="62"/>
      <c r="L54" s="54" t="str">
        <f t="shared" si="9"/>
        <v>0</v>
      </c>
      <c r="M54" s="54">
        <f t="shared" si="10"/>
        <v>0</v>
      </c>
    </row>
    <row r="55" spans="1:13">
      <c r="A55" s="68"/>
      <c r="B55" s="59"/>
      <c r="C55" s="101">
        <f t="shared" si="11"/>
        <v>0</v>
      </c>
      <c r="D55" s="60"/>
      <c r="E55" s="54">
        <f t="shared" si="6"/>
        <v>0</v>
      </c>
      <c r="F55" s="55">
        <f t="shared" si="7"/>
        <v>0</v>
      </c>
      <c r="G55" s="56" t="e">
        <f t="shared" si="8"/>
        <v>#DIV/0!</v>
      </c>
      <c r="H55" s="61"/>
      <c r="I55" s="57"/>
      <c r="J55" s="61"/>
      <c r="K55" s="62"/>
      <c r="L55" s="54" t="str">
        <f t="shared" si="9"/>
        <v>0</v>
      </c>
      <c r="M55" s="54">
        <f t="shared" si="10"/>
        <v>0</v>
      </c>
    </row>
    <row r="56" spans="1:13">
      <c r="A56" s="68"/>
      <c r="B56" s="59"/>
      <c r="C56" s="101">
        <f t="shared" si="11"/>
        <v>0</v>
      </c>
      <c r="D56" s="60"/>
      <c r="E56" s="54">
        <f t="shared" si="6"/>
        <v>0</v>
      </c>
      <c r="F56" s="55">
        <f t="shared" si="7"/>
        <v>0</v>
      </c>
      <c r="G56" s="56" t="e">
        <f t="shared" si="8"/>
        <v>#DIV/0!</v>
      </c>
      <c r="H56" s="61"/>
      <c r="I56" s="57"/>
      <c r="J56" s="61"/>
      <c r="K56" s="62"/>
      <c r="L56" s="54" t="str">
        <f t="shared" si="9"/>
        <v>0</v>
      </c>
      <c r="M56" s="54">
        <f t="shared" si="10"/>
        <v>0</v>
      </c>
    </row>
    <row r="57" spans="1:13">
      <c r="A57" s="68"/>
      <c r="B57" s="59"/>
      <c r="C57" s="101">
        <f t="shared" si="11"/>
        <v>0</v>
      </c>
      <c r="D57" s="60"/>
      <c r="E57" s="54">
        <f t="shared" si="6"/>
        <v>0</v>
      </c>
      <c r="F57" s="55">
        <f t="shared" si="7"/>
        <v>0</v>
      </c>
      <c r="G57" s="56" t="e">
        <f t="shared" si="8"/>
        <v>#DIV/0!</v>
      </c>
      <c r="H57" s="61"/>
      <c r="I57" s="57"/>
      <c r="J57" s="61"/>
      <c r="K57" s="62"/>
      <c r="L57" s="54" t="str">
        <f t="shared" si="9"/>
        <v>0</v>
      </c>
      <c r="M57" s="54">
        <f t="shared" si="10"/>
        <v>0</v>
      </c>
    </row>
  </sheetData>
  <sheetProtection algorithmName="SHA-512" hashValue="2kTpajG9VSQxCftmhgaJsOTD7ilErBOLOFaDAex2FgkNwEPn8apQAGpAvWOAuN4TkUHxLV/GXUlVmI1ZIdh29w==" saltValue="oqkTWVNEaqVNcnksyyaZSg==" spinCount="100000" sheet="1" objects="1" scenarios="1"/>
  <mergeCells count="7">
    <mergeCell ref="L3:M3"/>
    <mergeCell ref="B2:M2"/>
    <mergeCell ref="L4:M4"/>
    <mergeCell ref="A1:M1"/>
    <mergeCell ref="A5:M5"/>
    <mergeCell ref="C3:D3"/>
    <mergeCell ref="C4:D4"/>
  </mergeCells>
  <phoneticPr fontId="47" type="noConversion"/>
  <conditionalFormatting sqref="E4">
    <cfRule type="cellIs" dxfId="68" priority="7" stopIfTrue="1" operator="lessThan">
      <formula>99.8</formula>
    </cfRule>
  </conditionalFormatting>
  <conditionalFormatting sqref="F4">
    <cfRule type="expression" dxfId="67" priority="5" stopIfTrue="1">
      <formula>"&gt;=0.8*$L$5"</formula>
    </cfRule>
    <cfRule type="expression" dxfId="66" priority="6" stopIfTrue="1">
      <formula>"&lt;0.8*$L$5"</formula>
    </cfRule>
  </conditionalFormatting>
  <conditionalFormatting sqref="H4">
    <cfRule type="cellIs" dxfId="65" priority="2" stopIfTrue="1" operator="greaterThanOrEqual">
      <formula>0.98</formula>
    </cfRule>
    <cfRule type="cellIs" dxfId="64" priority="3" stopIfTrue="1" operator="greaterThanOrEqual">
      <formula>0.9</formula>
    </cfRule>
    <cfRule type="cellIs" dxfId="63" priority="4" stopIfTrue="1" operator="lessThan">
      <formula>0.95</formula>
    </cfRule>
  </conditionalFormatting>
  <conditionalFormatting sqref="A1:M57">
    <cfRule type="expression" dxfId="62" priority="1">
      <formula>"""=$C3&lt;&gt;"""""""</formula>
    </cfRule>
  </conditionalFormatting>
  <pageMargins left="0.7" right="0.7" top="0.75" bottom="0.75" header="0.3" footer="0.3"/>
  <pageSetup paperSize="9" orientation="landscape"/>
  <headerFooter>
    <oddHeader>&amp;L&amp;G</oddHeader>
  </headerFooter>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Pict="0" macro="[0]!Sheet10.WriteTime">
                <anchor moveWithCells="1" sizeWithCells="1">
                  <from>
                    <xdr:col>0</xdr:col>
                    <xdr:colOff>114300</xdr:colOff>
                    <xdr:row>0</xdr:row>
                    <xdr:rowOff>68580</xdr:rowOff>
                  </from>
                  <to>
                    <xdr:col>1</xdr:col>
                    <xdr:colOff>815340</xdr:colOff>
                    <xdr:row>0</xdr:row>
                    <xdr:rowOff>525780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M7"/>
  <sheetViews>
    <sheetView zoomScaleNormal="100" workbookViewId="0">
      <selection sqref="A1:D1"/>
    </sheetView>
  </sheetViews>
  <sheetFormatPr defaultColWidth="9" defaultRowHeight="14.4"/>
  <cols>
    <col min="1" max="1" width="10.21875" style="23" customWidth="1"/>
    <col min="2" max="2" width="49" customWidth="1"/>
    <col min="3" max="3" width="50.77734375" customWidth="1"/>
    <col min="4" max="4" width="21.88671875" customWidth="1"/>
  </cols>
  <sheetData>
    <row r="1" spans="1:13" s="1" customFormat="1" ht="19.95" customHeight="1">
      <c r="A1" s="163" t="str">
        <f ca="1">MID(CELL("filename",A2),FIND("]",CELL("filename",A2))+1,255)</f>
        <v>打印版面介绍</v>
      </c>
      <c r="B1" s="129"/>
      <c r="C1" s="129"/>
      <c r="D1" s="129"/>
      <c r="E1" s="24"/>
      <c r="F1" s="24"/>
      <c r="G1" s="24"/>
      <c r="H1" s="24"/>
      <c r="I1" s="24"/>
      <c r="J1" s="24"/>
      <c r="K1" s="24"/>
      <c r="L1" s="24"/>
      <c r="M1" s="24"/>
    </row>
    <row r="2" spans="1:13" s="2" customFormat="1" ht="16.5" customHeight="1">
      <c r="A2" s="5" t="s">
        <v>152</v>
      </c>
      <c r="B2" s="5" t="s">
        <v>153</v>
      </c>
      <c r="C2" s="5" t="s">
        <v>154</v>
      </c>
      <c r="D2" s="5" t="s">
        <v>155</v>
      </c>
      <c r="E2" s="94"/>
      <c r="F2" s="94"/>
      <c r="G2" s="94"/>
      <c r="H2" s="94"/>
      <c r="I2" s="94"/>
      <c r="J2" s="94"/>
      <c r="K2" s="94"/>
      <c r="L2" s="94"/>
      <c r="M2" s="94"/>
    </row>
    <row r="3" spans="1:13" ht="191.55" customHeight="1">
      <c r="A3" s="25" t="s">
        <v>156</v>
      </c>
      <c r="B3" s="26"/>
      <c r="C3" s="26"/>
      <c r="D3" s="27" t="s">
        <v>157</v>
      </c>
    </row>
    <row r="4" spans="1:13" ht="178.2" customHeight="1">
      <c r="A4" s="28" t="s">
        <v>158</v>
      </c>
      <c r="B4" s="29"/>
      <c r="C4" s="29"/>
      <c r="D4" s="30" t="s">
        <v>157</v>
      </c>
    </row>
    <row r="5" spans="1:13" ht="207.6" customHeight="1">
      <c r="A5" s="28" t="s">
        <v>159</v>
      </c>
      <c r="B5" s="29"/>
      <c r="C5" s="29"/>
      <c r="D5" s="30" t="s">
        <v>160</v>
      </c>
    </row>
    <row r="6" spans="1:13" ht="202.2" customHeight="1">
      <c r="A6" s="28" t="s">
        <v>161</v>
      </c>
      <c r="B6" s="29"/>
      <c r="C6" s="29"/>
      <c r="D6" s="31" t="s">
        <v>162</v>
      </c>
    </row>
    <row r="7" spans="1:13" ht="55.2" customHeight="1">
      <c r="A7" s="28"/>
      <c r="B7" s="29"/>
      <c r="C7" s="29"/>
      <c r="D7" s="29"/>
    </row>
  </sheetData>
  <mergeCells count="1">
    <mergeCell ref="A1:D1"/>
  </mergeCells>
  <phoneticPr fontId="47" type="noConversion"/>
  <conditionalFormatting sqref="F2">
    <cfRule type="cellIs" dxfId="61" priority="1" operator="equal">
      <formula>"Nok"</formula>
    </cfRule>
    <cfRule type="cellIs" dxfId="60" priority="2" operator="equal">
      <formula>"OK"</formula>
    </cfRule>
  </conditionalFormatting>
  <pageMargins left="0.70866141732283472" right="0.70866141732283472" top="0.74803149606299213" bottom="0.74803149606299213" header="0.31496062992125978" footer="0.31496062992125978"/>
  <pageSetup paperSize="9" orientation="landscape"/>
  <headerFooter>
    <oddHeader>&amp;L&amp;6 &amp;G</oddHeader>
    <oddFooter>&amp;C本文中的所有信息均为深圳市雄帝科技股份有限公司内部信息，不得向外传播。</oddFooter>
  </headerFooter>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U46"/>
  <sheetViews>
    <sheetView showGridLines="0" zoomScaleNormal="100" workbookViewId="0">
      <selection activeCell="I4" sqref="I4:O28"/>
    </sheetView>
  </sheetViews>
  <sheetFormatPr defaultColWidth="9" defaultRowHeight="13.2"/>
  <cols>
    <col min="1" max="1" width="8.6640625" style="12" customWidth="1"/>
    <col min="2" max="4" width="7.44140625" style="13" customWidth="1"/>
    <col min="5" max="5" width="7.44140625" style="102" customWidth="1"/>
    <col min="6" max="7" width="6.109375" style="13" customWidth="1"/>
    <col min="8" max="10" width="7.44140625" style="13" customWidth="1"/>
    <col min="11" max="256" width="9" style="13" customWidth="1"/>
    <col min="257" max="257" width="8.6640625" style="13" customWidth="1"/>
    <col min="258" max="263" width="6.109375" style="13" customWidth="1"/>
    <col min="264" max="264" width="2" style="13" customWidth="1"/>
    <col min="265" max="266" width="7.44140625" style="13" customWidth="1"/>
    <col min="267" max="512" width="9" style="13" customWidth="1"/>
    <col min="513" max="513" width="8.6640625" style="13" customWidth="1"/>
    <col min="514" max="519" width="6.109375" style="13" customWidth="1"/>
    <col min="520" max="520" width="2" style="13" customWidth="1"/>
    <col min="521" max="522" width="7.44140625" style="13" customWidth="1"/>
    <col min="523" max="768" width="9" style="13" customWidth="1"/>
    <col min="769" max="769" width="8.6640625" style="13" customWidth="1"/>
    <col min="770" max="775" width="6.109375" style="13" customWidth="1"/>
    <col min="776" max="776" width="2" style="13" customWidth="1"/>
    <col min="777" max="778" width="7.44140625" style="13" customWidth="1"/>
    <col min="779" max="1024" width="9" style="13" customWidth="1"/>
    <col min="1025" max="1025" width="8.6640625" style="13" customWidth="1"/>
    <col min="1026" max="1031" width="6.109375" style="13" customWidth="1"/>
    <col min="1032" max="1032" width="2" style="13" customWidth="1"/>
    <col min="1033" max="1034" width="7.44140625" style="13" customWidth="1"/>
    <col min="1035" max="1280" width="9" style="13" customWidth="1"/>
    <col min="1281" max="1281" width="8.6640625" style="13" customWidth="1"/>
    <col min="1282" max="1287" width="6.109375" style="13" customWidth="1"/>
    <col min="1288" max="1288" width="2" style="13" customWidth="1"/>
    <col min="1289" max="1290" width="7.44140625" style="13" customWidth="1"/>
    <col min="1291" max="1536" width="9" style="13" customWidth="1"/>
    <col min="1537" max="1537" width="8.6640625" style="13" customWidth="1"/>
    <col min="1538" max="1543" width="6.109375" style="13" customWidth="1"/>
    <col min="1544" max="1544" width="2" style="13" customWidth="1"/>
    <col min="1545" max="1546" width="7.44140625" style="13" customWidth="1"/>
    <col min="1547" max="1792" width="9" style="13" customWidth="1"/>
    <col min="1793" max="1793" width="8.6640625" style="13" customWidth="1"/>
    <col min="1794" max="1799" width="6.109375" style="13" customWidth="1"/>
    <col min="1800" max="1800" width="2" style="13" customWidth="1"/>
    <col min="1801" max="1802" width="7.44140625" style="13" customWidth="1"/>
    <col min="1803" max="2048" width="9" style="13" customWidth="1"/>
    <col min="2049" max="2049" width="8.6640625" style="13" customWidth="1"/>
    <col min="2050" max="2055" width="6.109375" style="13" customWidth="1"/>
    <col min="2056" max="2056" width="2" style="13" customWidth="1"/>
    <col min="2057" max="2058" width="7.44140625" style="13" customWidth="1"/>
    <col min="2059" max="2304" width="9" style="13" customWidth="1"/>
    <col min="2305" max="2305" width="8.6640625" style="13" customWidth="1"/>
    <col min="2306" max="2311" width="6.109375" style="13" customWidth="1"/>
    <col min="2312" max="2312" width="2" style="13" customWidth="1"/>
    <col min="2313" max="2314" width="7.44140625" style="13" customWidth="1"/>
    <col min="2315" max="2560" width="9" style="13" customWidth="1"/>
    <col min="2561" max="2561" width="8.6640625" style="13" customWidth="1"/>
    <col min="2562" max="2567" width="6.109375" style="13" customWidth="1"/>
    <col min="2568" max="2568" width="2" style="13" customWidth="1"/>
    <col min="2569" max="2570" width="7.44140625" style="13" customWidth="1"/>
    <col min="2571" max="2816" width="9" style="13" customWidth="1"/>
    <col min="2817" max="2817" width="8.6640625" style="13" customWidth="1"/>
    <col min="2818" max="2823" width="6.109375" style="13" customWidth="1"/>
    <col min="2824" max="2824" width="2" style="13" customWidth="1"/>
    <col min="2825" max="2826" width="7.44140625" style="13" customWidth="1"/>
    <col min="2827" max="3072" width="9" style="13" customWidth="1"/>
    <col min="3073" max="3073" width="8.6640625" style="13" customWidth="1"/>
    <col min="3074" max="3079" width="6.109375" style="13" customWidth="1"/>
    <col min="3080" max="3080" width="2" style="13" customWidth="1"/>
    <col min="3081" max="3082" width="7.44140625" style="13" customWidth="1"/>
    <col min="3083" max="3328" width="9" style="13" customWidth="1"/>
    <col min="3329" max="3329" width="8.6640625" style="13" customWidth="1"/>
    <col min="3330" max="3335" width="6.109375" style="13" customWidth="1"/>
    <col min="3336" max="3336" width="2" style="13" customWidth="1"/>
    <col min="3337" max="3338" width="7.44140625" style="13" customWidth="1"/>
    <col min="3339" max="3584" width="9" style="13" customWidth="1"/>
    <col min="3585" max="3585" width="8.6640625" style="13" customWidth="1"/>
    <col min="3586" max="3591" width="6.109375" style="13" customWidth="1"/>
    <col min="3592" max="3592" width="2" style="13" customWidth="1"/>
    <col min="3593" max="3594" width="7.44140625" style="13" customWidth="1"/>
    <col min="3595" max="3840" width="9" style="13" customWidth="1"/>
    <col min="3841" max="3841" width="8.6640625" style="13" customWidth="1"/>
    <col min="3842" max="3847" width="6.109375" style="13" customWidth="1"/>
    <col min="3848" max="3848" width="2" style="13" customWidth="1"/>
    <col min="3849" max="3850" width="7.44140625" style="13" customWidth="1"/>
    <col min="3851" max="4096" width="9" style="13" customWidth="1"/>
    <col min="4097" max="4097" width="8.6640625" style="13" customWidth="1"/>
    <col min="4098" max="4103" width="6.109375" style="13" customWidth="1"/>
    <col min="4104" max="4104" width="2" style="13" customWidth="1"/>
    <col min="4105" max="4106" width="7.44140625" style="13" customWidth="1"/>
    <col min="4107" max="4352" width="9" style="13" customWidth="1"/>
    <col min="4353" max="4353" width="8.6640625" style="13" customWidth="1"/>
    <col min="4354" max="4359" width="6.109375" style="13" customWidth="1"/>
    <col min="4360" max="4360" width="2" style="13" customWidth="1"/>
    <col min="4361" max="4362" width="7.44140625" style="13" customWidth="1"/>
    <col min="4363" max="4608" width="9" style="13" customWidth="1"/>
    <col min="4609" max="4609" width="8.6640625" style="13" customWidth="1"/>
    <col min="4610" max="4615" width="6.109375" style="13" customWidth="1"/>
    <col min="4616" max="4616" width="2" style="13" customWidth="1"/>
    <col min="4617" max="4618" width="7.44140625" style="13" customWidth="1"/>
    <col min="4619" max="4864" width="9" style="13" customWidth="1"/>
    <col min="4865" max="4865" width="8.6640625" style="13" customWidth="1"/>
    <col min="4866" max="4871" width="6.109375" style="13" customWidth="1"/>
    <col min="4872" max="4872" width="2" style="13" customWidth="1"/>
    <col min="4873" max="4874" width="7.44140625" style="13" customWidth="1"/>
    <col min="4875" max="5120" width="9" style="13" customWidth="1"/>
    <col min="5121" max="5121" width="8.6640625" style="13" customWidth="1"/>
    <col min="5122" max="5127" width="6.109375" style="13" customWidth="1"/>
    <col min="5128" max="5128" width="2" style="13" customWidth="1"/>
    <col min="5129" max="5130" width="7.44140625" style="13" customWidth="1"/>
    <col min="5131" max="5376" width="9" style="13" customWidth="1"/>
    <col min="5377" max="5377" width="8.6640625" style="13" customWidth="1"/>
    <col min="5378" max="5383" width="6.109375" style="13" customWidth="1"/>
    <col min="5384" max="5384" width="2" style="13" customWidth="1"/>
    <col min="5385" max="5386" width="7.44140625" style="13" customWidth="1"/>
    <col min="5387" max="5632" width="9" style="13" customWidth="1"/>
    <col min="5633" max="5633" width="8.6640625" style="13" customWidth="1"/>
    <col min="5634" max="5639" width="6.109375" style="13" customWidth="1"/>
    <col min="5640" max="5640" width="2" style="13" customWidth="1"/>
    <col min="5641" max="5642" width="7.44140625" style="13" customWidth="1"/>
    <col min="5643" max="5888" width="9" style="13" customWidth="1"/>
    <col min="5889" max="5889" width="8.6640625" style="13" customWidth="1"/>
    <col min="5890" max="5895" width="6.109375" style="13" customWidth="1"/>
    <col min="5896" max="5896" width="2" style="13" customWidth="1"/>
    <col min="5897" max="5898" width="7.44140625" style="13" customWidth="1"/>
    <col min="5899" max="6144" width="9" style="13" customWidth="1"/>
    <col min="6145" max="6145" width="8.6640625" style="13" customWidth="1"/>
    <col min="6146" max="6151" width="6.109375" style="13" customWidth="1"/>
    <col min="6152" max="6152" width="2" style="13" customWidth="1"/>
    <col min="6153" max="6154" width="7.44140625" style="13" customWidth="1"/>
    <col min="6155" max="6400" width="9" style="13" customWidth="1"/>
    <col min="6401" max="6401" width="8.6640625" style="13" customWidth="1"/>
    <col min="6402" max="6407" width="6.109375" style="13" customWidth="1"/>
    <col min="6408" max="6408" width="2" style="13" customWidth="1"/>
    <col min="6409" max="6410" width="7.44140625" style="13" customWidth="1"/>
    <col min="6411" max="6656" width="9" style="13" customWidth="1"/>
    <col min="6657" max="6657" width="8.6640625" style="13" customWidth="1"/>
    <col min="6658" max="6663" width="6.109375" style="13" customWidth="1"/>
    <col min="6664" max="6664" width="2" style="13" customWidth="1"/>
    <col min="6665" max="6666" width="7.44140625" style="13" customWidth="1"/>
    <col min="6667" max="6912" width="9" style="13" customWidth="1"/>
    <col min="6913" max="6913" width="8.6640625" style="13" customWidth="1"/>
    <col min="6914" max="6919" width="6.109375" style="13" customWidth="1"/>
    <col min="6920" max="6920" width="2" style="13" customWidth="1"/>
    <col min="6921" max="6922" width="7.44140625" style="13" customWidth="1"/>
    <col min="6923" max="7168" width="9" style="13" customWidth="1"/>
    <col min="7169" max="7169" width="8.6640625" style="13" customWidth="1"/>
    <col min="7170" max="7175" width="6.109375" style="13" customWidth="1"/>
    <col min="7176" max="7176" width="2" style="13" customWidth="1"/>
    <col min="7177" max="7178" width="7.44140625" style="13" customWidth="1"/>
    <col min="7179" max="7424" width="9" style="13" customWidth="1"/>
    <col min="7425" max="7425" width="8.6640625" style="13" customWidth="1"/>
    <col min="7426" max="7431" width="6.109375" style="13" customWidth="1"/>
    <col min="7432" max="7432" width="2" style="13" customWidth="1"/>
    <col min="7433" max="7434" width="7.44140625" style="13" customWidth="1"/>
    <col min="7435" max="7680" width="9" style="13" customWidth="1"/>
    <col min="7681" max="7681" width="8.6640625" style="13" customWidth="1"/>
    <col min="7682" max="7687" width="6.109375" style="13" customWidth="1"/>
    <col min="7688" max="7688" width="2" style="13" customWidth="1"/>
    <col min="7689" max="7690" width="7.44140625" style="13" customWidth="1"/>
    <col min="7691" max="7936" width="9" style="13" customWidth="1"/>
    <col min="7937" max="7937" width="8.6640625" style="13" customWidth="1"/>
    <col min="7938" max="7943" width="6.109375" style="13" customWidth="1"/>
    <col min="7944" max="7944" width="2" style="13" customWidth="1"/>
    <col min="7945" max="7946" width="7.44140625" style="13" customWidth="1"/>
    <col min="7947" max="8192" width="9" style="13" customWidth="1"/>
    <col min="8193" max="8193" width="8.6640625" style="13" customWidth="1"/>
    <col min="8194" max="8199" width="6.109375" style="13" customWidth="1"/>
    <col min="8200" max="8200" width="2" style="13" customWidth="1"/>
    <col min="8201" max="8202" width="7.44140625" style="13" customWidth="1"/>
    <col min="8203" max="8448" width="9" style="13" customWidth="1"/>
    <col min="8449" max="8449" width="8.6640625" style="13" customWidth="1"/>
    <col min="8450" max="8455" width="6.109375" style="13" customWidth="1"/>
    <col min="8456" max="8456" width="2" style="13" customWidth="1"/>
    <col min="8457" max="8458" width="7.44140625" style="13" customWidth="1"/>
    <col min="8459" max="8704" width="9" style="13" customWidth="1"/>
    <col min="8705" max="8705" width="8.6640625" style="13" customWidth="1"/>
    <col min="8706" max="8711" width="6.109375" style="13" customWidth="1"/>
    <col min="8712" max="8712" width="2" style="13" customWidth="1"/>
    <col min="8713" max="8714" width="7.44140625" style="13" customWidth="1"/>
    <col min="8715" max="8960" width="9" style="13" customWidth="1"/>
    <col min="8961" max="8961" width="8.6640625" style="13" customWidth="1"/>
    <col min="8962" max="8967" width="6.109375" style="13" customWidth="1"/>
    <col min="8968" max="8968" width="2" style="13" customWidth="1"/>
    <col min="8969" max="8970" width="7.44140625" style="13" customWidth="1"/>
    <col min="8971" max="9216" width="9" style="13" customWidth="1"/>
    <col min="9217" max="9217" width="8.6640625" style="13" customWidth="1"/>
    <col min="9218" max="9223" width="6.109375" style="13" customWidth="1"/>
    <col min="9224" max="9224" width="2" style="13" customWidth="1"/>
    <col min="9225" max="9226" width="7.44140625" style="13" customWidth="1"/>
    <col min="9227" max="9472" width="9" style="13" customWidth="1"/>
    <col min="9473" max="9473" width="8.6640625" style="13" customWidth="1"/>
    <col min="9474" max="9479" width="6.109375" style="13" customWidth="1"/>
    <col min="9480" max="9480" width="2" style="13" customWidth="1"/>
    <col min="9481" max="9482" width="7.44140625" style="13" customWidth="1"/>
    <col min="9483" max="9728" width="9" style="13" customWidth="1"/>
    <col min="9729" max="9729" width="8.6640625" style="13" customWidth="1"/>
    <col min="9730" max="9735" width="6.109375" style="13" customWidth="1"/>
    <col min="9736" max="9736" width="2" style="13" customWidth="1"/>
    <col min="9737" max="9738" width="7.44140625" style="13" customWidth="1"/>
    <col min="9739" max="9984" width="9" style="13" customWidth="1"/>
    <col min="9985" max="9985" width="8.6640625" style="13" customWidth="1"/>
    <col min="9986" max="9991" width="6.109375" style="13" customWidth="1"/>
    <col min="9992" max="9992" width="2" style="13" customWidth="1"/>
    <col min="9993" max="9994" width="7.44140625" style="13" customWidth="1"/>
    <col min="9995" max="10240" width="9" style="13" customWidth="1"/>
    <col min="10241" max="10241" width="8.6640625" style="13" customWidth="1"/>
    <col min="10242" max="10247" width="6.109375" style="13" customWidth="1"/>
    <col min="10248" max="10248" width="2" style="13" customWidth="1"/>
    <col min="10249" max="10250" width="7.44140625" style="13" customWidth="1"/>
    <col min="10251" max="10496" width="9" style="13" customWidth="1"/>
    <col min="10497" max="10497" width="8.6640625" style="13" customWidth="1"/>
    <col min="10498" max="10503" width="6.109375" style="13" customWidth="1"/>
    <col min="10504" max="10504" width="2" style="13" customWidth="1"/>
    <col min="10505" max="10506" width="7.44140625" style="13" customWidth="1"/>
    <col min="10507" max="10752" width="9" style="13" customWidth="1"/>
    <col min="10753" max="10753" width="8.6640625" style="13" customWidth="1"/>
    <col min="10754" max="10759" width="6.109375" style="13" customWidth="1"/>
    <col min="10760" max="10760" width="2" style="13" customWidth="1"/>
    <col min="10761" max="10762" width="7.44140625" style="13" customWidth="1"/>
    <col min="10763" max="11008" width="9" style="13" customWidth="1"/>
    <col min="11009" max="11009" width="8.6640625" style="13" customWidth="1"/>
    <col min="11010" max="11015" width="6.109375" style="13" customWidth="1"/>
    <col min="11016" max="11016" width="2" style="13" customWidth="1"/>
    <col min="11017" max="11018" width="7.44140625" style="13" customWidth="1"/>
    <col min="11019" max="11264" width="9" style="13" customWidth="1"/>
    <col min="11265" max="11265" width="8.6640625" style="13" customWidth="1"/>
    <col min="11266" max="11271" width="6.109375" style="13" customWidth="1"/>
    <col min="11272" max="11272" width="2" style="13" customWidth="1"/>
    <col min="11273" max="11274" width="7.44140625" style="13" customWidth="1"/>
    <col min="11275" max="11520" width="9" style="13" customWidth="1"/>
    <col min="11521" max="11521" width="8.6640625" style="13" customWidth="1"/>
    <col min="11522" max="11527" width="6.109375" style="13" customWidth="1"/>
    <col min="11528" max="11528" width="2" style="13" customWidth="1"/>
    <col min="11529" max="11530" width="7.44140625" style="13" customWidth="1"/>
    <col min="11531" max="11776" width="9" style="13" customWidth="1"/>
    <col min="11777" max="11777" width="8.6640625" style="13" customWidth="1"/>
    <col min="11778" max="11783" width="6.109375" style="13" customWidth="1"/>
    <col min="11784" max="11784" width="2" style="13" customWidth="1"/>
    <col min="11785" max="11786" width="7.44140625" style="13" customWidth="1"/>
    <col min="11787" max="12032" width="9" style="13" customWidth="1"/>
    <col min="12033" max="12033" width="8.6640625" style="13" customWidth="1"/>
    <col min="12034" max="12039" width="6.109375" style="13" customWidth="1"/>
    <col min="12040" max="12040" width="2" style="13" customWidth="1"/>
    <col min="12041" max="12042" width="7.44140625" style="13" customWidth="1"/>
    <col min="12043" max="12288" width="9" style="13" customWidth="1"/>
    <col min="12289" max="12289" width="8.6640625" style="13" customWidth="1"/>
    <col min="12290" max="12295" width="6.109375" style="13" customWidth="1"/>
    <col min="12296" max="12296" width="2" style="13" customWidth="1"/>
    <col min="12297" max="12298" width="7.44140625" style="13" customWidth="1"/>
    <col min="12299" max="12544" width="9" style="13" customWidth="1"/>
    <col min="12545" max="12545" width="8.6640625" style="13" customWidth="1"/>
    <col min="12546" max="12551" width="6.109375" style="13" customWidth="1"/>
    <col min="12552" max="12552" width="2" style="13" customWidth="1"/>
    <col min="12553" max="12554" width="7.44140625" style="13" customWidth="1"/>
    <col min="12555" max="12800" width="9" style="13" customWidth="1"/>
    <col min="12801" max="12801" width="8.6640625" style="13" customWidth="1"/>
    <col min="12802" max="12807" width="6.109375" style="13" customWidth="1"/>
    <col min="12808" max="12808" width="2" style="13" customWidth="1"/>
    <col min="12809" max="12810" width="7.44140625" style="13" customWidth="1"/>
    <col min="12811" max="13056" width="9" style="13" customWidth="1"/>
    <col min="13057" max="13057" width="8.6640625" style="13" customWidth="1"/>
    <col min="13058" max="13063" width="6.109375" style="13" customWidth="1"/>
    <col min="13064" max="13064" width="2" style="13" customWidth="1"/>
    <col min="13065" max="13066" width="7.44140625" style="13" customWidth="1"/>
    <col min="13067" max="13312" width="9" style="13" customWidth="1"/>
    <col min="13313" max="13313" width="8.6640625" style="13" customWidth="1"/>
    <col min="13314" max="13319" width="6.109375" style="13" customWidth="1"/>
    <col min="13320" max="13320" width="2" style="13" customWidth="1"/>
    <col min="13321" max="13322" width="7.44140625" style="13" customWidth="1"/>
    <col min="13323" max="13568" width="9" style="13" customWidth="1"/>
    <col min="13569" max="13569" width="8.6640625" style="13" customWidth="1"/>
    <col min="13570" max="13575" width="6.109375" style="13" customWidth="1"/>
    <col min="13576" max="13576" width="2" style="13" customWidth="1"/>
    <col min="13577" max="13578" width="7.44140625" style="13" customWidth="1"/>
    <col min="13579" max="13824" width="9" style="13" customWidth="1"/>
    <col min="13825" max="13825" width="8.6640625" style="13" customWidth="1"/>
    <col min="13826" max="13831" width="6.109375" style="13" customWidth="1"/>
    <col min="13832" max="13832" width="2" style="13" customWidth="1"/>
    <col min="13833" max="13834" width="7.44140625" style="13" customWidth="1"/>
    <col min="13835" max="14080" width="9" style="13" customWidth="1"/>
    <col min="14081" max="14081" width="8.6640625" style="13" customWidth="1"/>
    <col min="14082" max="14087" width="6.109375" style="13" customWidth="1"/>
    <col min="14088" max="14088" width="2" style="13" customWidth="1"/>
    <col min="14089" max="14090" width="7.44140625" style="13" customWidth="1"/>
    <col min="14091" max="14336" width="9" style="13" customWidth="1"/>
    <col min="14337" max="14337" width="8.6640625" style="13" customWidth="1"/>
    <col min="14338" max="14343" width="6.109375" style="13" customWidth="1"/>
    <col min="14344" max="14344" width="2" style="13" customWidth="1"/>
    <col min="14345" max="14346" width="7.44140625" style="13" customWidth="1"/>
    <col min="14347" max="14592" width="9" style="13" customWidth="1"/>
    <col min="14593" max="14593" width="8.6640625" style="13" customWidth="1"/>
    <col min="14594" max="14599" width="6.109375" style="13" customWidth="1"/>
    <col min="14600" max="14600" width="2" style="13" customWidth="1"/>
    <col min="14601" max="14602" width="7.44140625" style="13" customWidth="1"/>
    <col min="14603" max="14848" width="9" style="13" customWidth="1"/>
    <col min="14849" max="14849" width="8.6640625" style="13" customWidth="1"/>
    <col min="14850" max="14855" width="6.109375" style="13" customWidth="1"/>
    <col min="14856" max="14856" width="2" style="13" customWidth="1"/>
    <col min="14857" max="14858" width="7.44140625" style="13" customWidth="1"/>
    <col min="14859" max="15104" width="9" style="13" customWidth="1"/>
    <col min="15105" max="15105" width="8.6640625" style="13" customWidth="1"/>
    <col min="15106" max="15111" width="6.109375" style="13" customWidth="1"/>
    <col min="15112" max="15112" width="2" style="13" customWidth="1"/>
    <col min="15113" max="15114" width="7.44140625" style="13" customWidth="1"/>
    <col min="15115" max="15360" width="9" style="13" customWidth="1"/>
    <col min="15361" max="15361" width="8.6640625" style="13" customWidth="1"/>
    <col min="15362" max="15367" width="6.109375" style="13" customWidth="1"/>
    <col min="15368" max="15368" width="2" style="13" customWidth="1"/>
    <col min="15369" max="15370" width="7.44140625" style="13" customWidth="1"/>
    <col min="15371" max="15616" width="9" style="13" customWidth="1"/>
    <col min="15617" max="15617" width="8.6640625" style="13" customWidth="1"/>
    <col min="15618" max="15623" width="6.109375" style="13" customWidth="1"/>
    <col min="15624" max="15624" width="2" style="13" customWidth="1"/>
    <col min="15625" max="15626" width="7.44140625" style="13" customWidth="1"/>
    <col min="15627" max="15872" width="9" style="13" customWidth="1"/>
    <col min="15873" max="15873" width="8.6640625" style="13" customWidth="1"/>
    <col min="15874" max="15879" width="6.109375" style="13" customWidth="1"/>
    <col min="15880" max="15880" width="2" style="13" customWidth="1"/>
    <col min="15881" max="15882" width="7.44140625" style="13" customWidth="1"/>
    <col min="15883" max="16128" width="9" style="13" customWidth="1"/>
    <col min="16129" max="16129" width="8.6640625" style="13" customWidth="1"/>
    <col min="16130" max="16135" width="6.109375" style="13" customWidth="1"/>
    <col min="16136" max="16136" width="2" style="13" customWidth="1"/>
    <col min="16137" max="16138" width="7.44140625" style="13" customWidth="1"/>
    <col min="16139" max="16384" width="9" style="13" customWidth="1"/>
  </cols>
  <sheetData>
    <row r="1" spans="1:15" ht="18" customHeight="1">
      <c r="A1" s="188" t="str">
        <f ca="1">MID(CELL("filename",A2),FIND("]",CELL("filename",A2))+1,255)</f>
        <v>CPK测量记录-C36716（贴标）</v>
      </c>
      <c r="B1" s="129"/>
      <c r="C1" s="129"/>
      <c r="D1" s="129"/>
      <c r="E1" s="129"/>
      <c r="F1" s="129"/>
      <c r="G1" s="129"/>
    </row>
    <row r="2" spans="1:15" ht="13.5" customHeight="1">
      <c r="A2" s="14"/>
      <c r="B2" s="15" t="s">
        <v>163</v>
      </c>
      <c r="C2" s="15" t="s">
        <v>164</v>
      </c>
      <c r="D2" s="15" t="s">
        <v>165</v>
      </c>
      <c r="E2" s="15" t="s">
        <v>166</v>
      </c>
      <c r="F2" s="15"/>
      <c r="G2" s="15"/>
    </row>
    <row r="3" spans="1:15" ht="19.95" customHeight="1">
      <c r="A3" s="16" t="s">
        <v>167</v>
      </c>
      <c r="B3" s="103">
        <v>21</v>
      </c>
      <c r="C3" s="103">
        <v>13</v>
      </c>
      <c r="D3" s="103">
        <v>71.5</v>
      </c>
      <c r="E3" s="103">
        <v>38.200000000000003</v>
      </c>
      <c r="F3" s="103"/>
      <c r="G3" s="103"/>
      <c r="H3" s="104"/>
      <c r="I3" s="192" t="s">
        <v>168</v>
      </c>
      <c r="J3" s="113"/>
      <c r="K3" s="113"/>
      <c r="L3" s="113"/>
      <c r="M3" s="113"/>
      <c r="N3" s="113"/>
      <c r="O3" s="114"/>
    </row>
    <row r="4" spans="1:15" ht="20.55" customHeight="1">
      <c r="A4" s="16" t="s">
        <v>169</v>
      </c>
      <c r="B4" s="105">
        <v>20</v>
      </c>
      <c r="C4" s="105">
        <v>12</v>
      </c>
      <c r="D4" s="105">
        <v>70.5</v>
      </c>
      <c r="E4" s="103">
        <v>37.200000000000003</v>
      </c>
      <c r="F4" s="103"/>
      <c r="G4" s="105"/>
      <c r="H4" s="104"/>
      <c r="I4" s="189"/>
      <c r="J4" s="155"/>
      <c r="K4" s="155"/>
      <c r="L4" s="155"/>
      <c r="M4" s="155"/>
      <c r="N4" s="155"/>
      <c r="O4" s="133"/>
    </row>
    <row r="5" spans="1:15" ht="13.5" customHeight="1">
      <c r="A5" s="17" t="s">
        <v>170</v>
      </c>
      <c r="B5" s="105">
        <f>(B3-B4)/2</f>
        <v>0.5</v>
      </c>
      <c r="C5" s="105">
        <f>(C3-C4)/2</f>
        <v>0.5</v>
      </c>
      <c r="D5" s="105">
        <f>(D3-D4)/2</f>
        <v>0.5</v>
      </c>
      <c r="E5" s="105">
        <f>(E3-E4)/2</f>
        <v>0.5</v>
      </c>
      <c r="F5" s="105"/>
      <c r="G5" s="105"/>
      <c r="H5" s="104"/>
      <c r="I5" s="147"/>
      <c r="J5" s="190"/>
      <c r="K5" s="190"/>
      <c r="L5" s="190"/>
      <c r="M5" s="190"/>
      <c r="N5" s="190"/>
      <c r="O5" s="120"/>
    </row>
    <row r="6" spans="1:15">
      <c r="A6" s="18" t="s">
        <v>171</v>
      </c>
      <c r="B6" s="106">
        <f>IF(ISBLANK(B$4),"*",IF(ISBLANK(B$3),"*",IF(B$9&lt;&gt;0,(B$3-B$4)/(6*B$9),"No Stdev")))</f>
        <v>2.5980293755769335</v>
      </c>
      <c r="C6" s="106">
        <f>IF(ISBLANK(C$4),"*",IF(ISBLANK(C$3),"*",IF(C$9&lt;&gt;0,(C$3-C$4)/(6*C$9),"No Stdev")))</f>
        <v>1.4079873617396805</v>
      </c>
      <c r="D6" s="106">
        <f>IF(ISBLANK(D$4),"*",IF(ISBLANK(D$3),"*",IF(D$9&lt;&gt;0,(D$3-D$4)/(6*D$9),"No Stdev")))</f>
        <v>1.8254924753439015</v>
      </c>
      <c r="E6" s="106">
        <f>IF(ISBLANK(E$4),"*",IF(ISBLANK(E$3),"*",IF(E$9&lt;&gt;0,(E$3-E$4)/(6*E$9),"No Stdev")))</f>
        <v>1.4515789376969275</v>
      </c>
      <c r="F6" s="106"/>
      <c r="G6" s="106"/>
      <c r="H6" s="104"/>
      <c r="I6" s="147"/>
      <c r="J6" s="190"/>
      <c r="K6" s="190"/>
      <c r="L6" s="190"/>
      <c r="M6" s="190"/>
      <c r="N6" s="190"/>
      <c r="O6" s="120"/>
    </row>
    <row r="7" spans="1:15">
      <c r="A7" s="18" t="s">
        <v>172</v>
      </c>
      <c r="B7" s="107">
        <f>IF(B$9&lt;&gt;0,(B3-B10)/(3*B9),"No Stdev")</f>
        <v>3.3147390793194211</v>
      </c>
      <c r="C7" s="107">
        <f>IF(C$9&lt;&gt;0,(C3-C10)/(3*C9),"No Stdev")</f>
        <v>1.3790766879119547</v>
      </c>
      <c r="D7" s="107">
        <f>IF(D$9&lt;&gt;0,(D3-D10)/(3*D9),"No Stdev")</f>
        <v>1.2928137710385084</v>
      </c>
      <c r="E7" s="107">
        <f>IF(E$9&lt;&gt;0,(E3-E10)/(3*E9),"No Stdev")</f>
        <v>0.80388441569657232</v>
      </c>
      <c r="F7" s="107"/>
      <c r="G7" s="107"/>
      <c r="H7" s="104"/>
      <c r="I7" s="147"/>
      <c r="J7" s="190"/>
      <c r="K7" s="190"/>
      <c r="L7" s="190"/>
      <c r="M7" s="190"/>
      <c r="N7" s="190"/>
      <c r="O7" s="120"/>
    </row>
    <row r="8" spans="1:15">
      <c r="A8" s="18" t="s">
        <v>173</v>
      </c>
      <c r="B8" s="107">
        <f>IF(B$9&lt;&gt;0,(B10-B4)/(3*B9),"No Stdev")</f>
        <v>1.8813196718344463</v>
      </c>
      <c r="C8" s="107">
        <f>IF(C$9&lt;&gt;0,(C10-C4)/(3*C9),"No Stdev")</f>
        <v>1.4368980355674064</v>
      </c>
      <c r="D8" s="107">
        <f>IF(D$9&lt;&gt;0,(D10-D4)/(3*D9),"No Stdev")</f>
        <v>2.3581711796492946</v>
      </c>
      <c r="E8" s="107">
        <f>IF(E$9&lt;&gt;0,(E10-E4)/(3*E9),"No Stdev")</f>
        <v>2.0992734596972826</v>
      </c>
      <c r="F8" s="107"/>
      <c r="G8" s="107"/>
      <c r="H8" s="104"/>
      <c r="I8" s="147"/>
      <c r="J8" s="190"/>
      <c r="K8" s="190"/>
      <c r="L8" s="190"/>
      <c r="M8" s="190"/>
      <c r="N8" s="190"/>
      <c r="O8" s="120"/>
    </row>
    <row r="9" spans="1:15">
      <c r="A9" s="18" t="s">
        <v>174</v>
      </c>
      <c r="B9" s="107">
        <f>STDEV(B17:B46)</f>
        <v>6.4151186369729052E-2</v>
      </c>
      <c r="C9" s="107">
        <f>STDEV(C17:C46)</f>
        <v>0.11837227463514781</v>
      </c>
      <c r="D9" s="107">
        <f>STDEV(D17:D46)</f>
        <v>9.1299563771287853E-2</v>
      </c>
      <c r="E9" s="107">
        <f>STDEV(E17:E46)</f>
        <v>0.11481750136930184</v>
      </c>
      <c r="F9" s="107"/>
      <c r="G9" s="107"/>
      <c r="H9" s="104"/>
      <c r="I9" s="147"/>
      <c r="J9" s="190"/>
      <c r="K9" s="190"/>
      <c r="L9" s="190"/>
      <c r="M9" s="190"/>
      <c r="N9" s="190"/>
      <c r="O9" s="120"/>
    </row>
    <row r="10" spans="1:15">
      <c r="A10" s="18" t="s">
        <v>175</v>
      </c>
      <c r="B10" s="108">
        <f>AVERAGE(B17:B46)</f>
        <v>20.362066666666667</v>
      </c>
      <c r="C10" s="108">
        <f>AVERAGE(C17:C46)</f>
        <v>12.510266666666668</v>
      </c>
      <c r="D10" s="108">
        <f>AVERAGE(D17:D46)</f>
        <v>71.145900000000012</v>
      </c>
      <c r="E10" s="108">
        <f>AVERAGE(E17:E46)</f>
        <v>37.923099999999998</v>
      </c>
      <c r="F10" s="108"/>
      <c r="G10" s="108"/>
      <c r="H10" s="104"/>
      <c r="I10" s="147"/>
      <c r="J10" s="190"/>
      <c r="K10" s="190"/>
      <c r="L10" s="190"/>
      <c r="M10" s="190"/>
      <c r="N10" s="190"/>
      <c r="O10" s="120"/>
    </row>
    <row r="11" spans="1:15">
      <c r="A11" s="18" t="s">
        <v>176</v>
      </c>
      <c r="B11" s="107">
        <f>MEDIAN(B17:B46)</f>
        <v>20.363</v>
      </c>
      <c r="C11" s="107">
        <f>MEDIAN(C17:C46)</f>
        <v>12.492000000000001</v>
      </c>
      <c r="D11" s="107">
        <f>MEDIAN(D17:D46)</f>
        <v>71.159000000000006</v>
      </c>
      <c r="E11" s="107">
        <f>MEDIAN(E17:E46)</f>
        <v>37.944000000000003</v>
      </c>
      <c r="F11" s="107"/>
      <c r="G11" s="107"/>
      <c r="H11" s="104"/>
      <c r="I11" s="147"/>
      <c r="J11" s="190"/>
      <c r="K11" s="190"/>
      <c r="L11" s="190"/>
      <c r="M11" s="190"/>
      <c r="N11" s="190"/>
      <c r="O11" s="120"/>
    </row>
    <row r="12" spans="1:15">
      <c r="A12" s="18" t="s">
        <v>177</v>
      </c>
      <c r="B12" s="107">
        <f>MIN(B17:B46)</f>
        <v>20.254999999999999</v>
      </c>
      <c r="C12" s="107">
        <f>MIN(C17:C46)</f>
        <v>12.269</v>
      </c>
      <c r="D12" s="107">
        <f>MIN(D17:D46)</f>
        <v>70.998999999999995</v>
      </c>
      <c r="E12" s="107">
        <f>MIN(E17:E46)</f>
        <v>37.564</v>
      </c>
      <c r="F12" s="107"/>
      <c r="G12" s="107"/>
      <c r="H12" s="104"/>
      <c r="I12" s="147"/>
      <c r="J12" s="190"/>
      <c r="K12" s="190"/>
      <c r="L12" s="190"/>
      <c r="M12" s="190"/>
      <c r="N12" s="190"/>
      <c r="O12" s="120"/>
    </row>
    <row r="13" spans="1:15">
      <c r="A13" s="18" t="s">
        <v>178</v>
      </c>
      <c r="B13" s="107">
        <f>MAX(B17:B46)</f>
        <v>20.488</v>
      </c>
      <c r="C13" s="107">
        <f>MAX(C17:C46)</f>
        <v>12.808999999999999</v>
      </c>
      <c r="D13" s="107">
        <f>MAX(D17:D46)</f>
        <v>71.334999999999994</v>
      </c>
      <c r="E13" s="107">
        <f>MAX(E17:E46)</f>
        <v>38.055</v>
      </c>
      <c r="F13" s="107"/>
      <c r="G13" s="107"/>
      <c r="H13" s="104"/>
      <c r="I13" s="147"/>
      <c r="J13" s="190"/>
      <c r="K13" s="190"/>
      <c r="L13" s="190"/>
      <c r="M13" s="190"/>
      <c r="N13" s="190"/>
      <c r="O13" s="120"/>
    </row>
    <row r="14" spans="1:15">
      <c r="A14" s="18" t="s">
        <v>179</v>
      </c>
      <c r="B14" s="109">
        <f>B13-B12</f>
        <v>0.23300000000000054</v>
      </c>
      <c r="C14" s="109">
        <f>C13-C12</f>
        <v>0.53999999999999915</v>
      </c>
      <c r="D14" s="109">
        <f>D13-D12</f>
        <v>0.33599999999999852</v>
      </c>
      <c r="E14" s="109">
        <f>E13-E12</f>
        <v>0.49099999999999966</v>
      </c>
      <c r="F14" s="109"/>
      <c r="G14" s="109"/>
      <c r="H14" s="104"/>
      <c r="I14" s="147"/>
      <c r="J14" s="190"/>
      <c r="K14" s="190"/>
      <c r="L14" s="190"/>
      <c r="M14" s="190"/>
      <c r="N14" s="190"/>
      <c r="O14" s="120"/>
    </row>
    <row r="15" spans="1:15">
      <c r="A15" s="110"/>
      <c r="E15" s="13"/>
      <c r="I15" s="147"/>
      <c r="J15" s="190"/>
      <c r="K15" s="190"/>
      <c r="L15" s="190"/>
      <c r="M15" s="190"/>
      <c r="N15" s="190"/>
      <c r="O15" s="120"/>
    </row>
    <row r="16" spans="1:15" ht="13.5" customHeight="1">
      <c r="A16" s="19"/>
      <c r="B16" s="187" t="s">
        <v>180</v>
      </c>
      <c r="C16" s="113"/>
      <c r="D16" s="113"/>
      <c r="E16" s="113"/>
      <c r="F16" s="113"/>
      <c r="G16" s="114"/>
      <c r="I16" s="147"/>
      <c r="J16" s="190"/>
      <c r="K16" s="190"/>
      <c r="L16" s="190"/>
      <c r="M16" s="190"/>
      <c r="N16" s="190"/>
      <c r="O16" s="120"/>
    </row>
    <row r="17" spans="1:21" ht="13.5" customHeight="1">
      <c r="A17" s="20">
        <v>1</v>
      </c>
      <c r="B17" s="21">
        <v>20.478999999999999</v>
      </c>
      <c r="C17" s="21">
        <v>12.359</v>
      </c>
      <c r="D17" s="21">
        <v>71.334999999999994</v>
      </c>
      <c r="E17" s="21">
        <v>37.914000000000001</v>
      </c>
      <c r="F17" s="21"/>
      <c r="G17" s="21"/>
      <c r="I17" s="147"/>
      <c r="J17" s="190"/>
      <c r="K17" s="190"/>
      <c r="L17" s="190"/>
      <c r="M17" s="190"/>
      <c r="N17" s="190"/>
      <c r="O17" s="120"/>
    </row>
    <row r="18" spans="1:21" ht="13.5" customHeight="1">
      <c r="A18" s="20">
        <v>2</v>
      </c>
      <c r="B18" s="21">
        <v>20.446000000000002</v>
      </c>
      <c r="C18" s="21">
        <v>12.785</v>
      </c>
      <c r="D18" s="21">
        <v>71.231999999999999</v>
      </c>
      <c r="E18" s="21">
        <v>38.024000000000001</v>
      </c>
      <c r="F18" s="21"/>
      <c r="G18" s="21"/>
      <c r="I18" s="147"/>
      <c r="J18" s="190"/>
      <c r="K18" s="190"/>
      <c r="L18" s="190"/>
      <c r="M18" s="190"/>
      <c r="N18" s="190"/>
      <c r="O18" s="120"/>
    </row>
    <row r="19" spans="1:21" ht="13.5" customHeight="1">
      <c r="A19" s="20">
        <v>3</v>
      </c>
      <c r="B19" s="21">
        <v>20.384</v>
      </c>
      <c r="C19" s="21">
        <v>12.561</v>
      </c>
      <c r="D19" s="21">
        <v>71.131</v>
      </c>
      <c r="E19" s="21">
        <v>38.01</v>
      </c>
      <c r="F19" s="21"/>
      <c r="G19" s="21"/>
      <c r="I19" s="147"/>
      <c r="J19" s="190"/>
      <c r="K19" s="190"/>
      <c r="L19" s="190"/>
      <c r="M19" s="190"/>
      <c r="N19" s="190"/>
      <c r="O19" s="120"/>
    </row>
    <row r="20" spans="1:21" ht="13.5" customHeight="1">
      <c r="A20" s="20">
        <v>4</v>
      </c>
      <c r="B20" s="21">
        <v>20.488</v>
      </c>
      <c r="C20" s="21">
        <v>12.446999999999999</v>
      </c>
      <c r="D20" s="21">
        <v>71.25</v>
      </c>
      <c r="E20" s="21">
        <v>37.9</v>
      </c>
      <c r="F20" s="21"/>
      <c r="G20" s="21"/>
      <c r="I20" s="147"/>
      <c r="J20" s="190"/>
      <c r="K20" s="190"/>
      <c r="L20" s="190"/>
      <c r="M20" s="190"/>
      <c r="N20" s="190"/>
      <c r="O20" s="120"/>
    </row>
    <row r="21" spans="1:21" ht="13.5" customHeight="1">
      <c r="A21" s="20">
        <v>5</v>
      </c>
      <c r="B21" s="21">
        <v>20.350999999999999</v>
      </c>
      <c r="C21" s="21">
        <v>12.523</v>
      </c>
      <c r="D21" s="21">
        <v>71.134</v>
      </c>
      <c r="E21" s="21">
        <v>37.963000000000001</v>
      </c>
      <c r="F21" s="21"/>
      <c r="G21" s="21"/>
      <c r="I21" s="147"/>
      <c r="J21" s="190"/>
      <c r="K21" s="190"/>
      <c r="L21" s="190"/>
      <c r="M21" s="190"/>
      <c r="N21" s="190"/>
      <c r="O21" s="120"/>
    </row>
    <row r="22" spans="1:21" ht="13.5" customHeight="1">
      <c r="A22" s="20">
        <v>6</v>
      </c>
      <c r="B22" s="21">
        <v>20.431999999999999</v>
      </c>
      <c r="C22" s="21">
        <v>12.500999999999999</v>
      </c>
      <c r="D22" s="21">
        <v>71.168000000000006</v>
      </c>
      <c r="E22" s="21">
        <v>37.945</v>
      </c>
      <c r="F22" s="21"/>
      <c r="G22" s="21"/>
      <c r="I22" s="147"/>
      <c r="J22" s="190"/>
      <c r="K22" s="190"/>
      <c r="L22" s="190"/>
      <c r="M22" s="190"/>
      <c r="N22" s="190"/>
      <c r="O22" s="120"/>
    </row>
    <row r="23" spans="1:21" ht="13.5" customHeight="1">
      <c r="A23" s="20">
        <v>7</v>
      </c>
      <c r="B23" s="21">
        <v>20.355</v>
      </c>
      <c r="C23" s="21">
        <v>12.446</v>
      </c>
      <c r="D23" s="21">
        <v>71.224000000000004</v>
      </c>
      <c r="E23" s="21">
        <v>37.935000000000002</v>
      </c>
      <c r="F23" s="21"/>
      <c r="G23" s="21"/>
      <c r="I23" s="147"/>
      <c r="J23" s="190"/>
      <c r="K23" s="190"/>
      <c r="L23" s="190"/>
      <c r="M23" s="190"/>
      <c r="N23" s="190"/>
      <c r="O23" s="120"/>
    </row>
    <row r="24" spans="1:21" ht="13.5" customHeight="1">
      <c r="A24" s="20">
        <v>8</v>
      </c>
      <c r="B24" s="21">
        <v>20.283999999999999</v>
      </c>
      <c r="C24" s="21">
        <v>12.443</v>
      </c>
      <c r="D24" s="21">
        <v>71.040999999999997</v>
      </c>
      <c r="E24" s="21">
        <v>38.055</v>
      </c>
      <c r="F24" s="21"/>
      <c r="G24" s="21"/>
      <c r="I24" s="147"/>
      <c r="J24" s="190"/>
      <c r="K24" s="190"/>
      <c r="L24" s="190"/>
      <c r="M24" s="190"/>
      <c r="N24" s="190"/>
      <c r="O24" s="120"/>
      <c r="P24" s="22"/>
      <c r="Q24" s="22"/>
    </row>
    <row r="25" spans="1:21" ht="13.5" customHeight="1">
      <c r="A25" s="20">
        <v>9</v>
      </c>
      <c r="B25" s="21">
        <v>20.373000000000001</v>
      </c>
      <c r="C25" s="21">
        <v>12.621</v>
      </c>
      <c r="D25" s="21">
        <v>71.122</v>
      </c>
      <c r="E25" s="21">
        <v>38.024999999999999</v>
      </c>
      <c r="F25" s="21"/>
      <c r="G25" s="21"/>
      <c r="I25" s="147"/>
      <c r="J25" s="190"/>
      <c r="K25" s="190"/>
      <c r="L25" s="190"/>
      <c r="M25" s="190"/>
      <c r="N25" s="190"/>
      <c r="O25" s="120"/>
    </row>
    <row r="26" spans="1:21" ht="13.5" customHeight="1">
      <c r="A26" s="20">
        <v>10</v>
      </c>
      <c r="B26" s="21">
        <v>20.350999999999999</v>
      </c>
      <c r="C26" s="21">
        <v>12.569000000000001</v>
      </c>
      <c r="D26" s="21">
        <v>71.061000000000007</v>
      </c>
      <c r="E26" s="21">
        <v>38.027000000000001</v>
      </c>
      <c r="F26" s="21"/>
      <c r="G26" s="21"/>
      <c r="I26" s="147"/>
      <c r="J26" s="190"/>
      <c r="K26" s="190"/>
      <c r="L26" s="190"/>
      <c r="M26" s="190"/>
      <c r="N26" s="190"/>
      <c r="O26" s="120"/>
    </row>
    <row r="27" spans="1:21" ht="13.5" customHeight="1">
      <c r="A27" s="20">
        <v>11</v>
      </c>
      <c r="B27" s="21">
        <v>20.263999999999999</v>
      </c>
      <c r="C27" s="21">
        <v>12.269</v>
      </c>
      <c r="D27" s="21">
        <v>71.010999999999996</v>
      </c>
      <c r="E27" s="21">
        <v>37.92</v>
      </c>
      <c r="F27" s="21"/>
      <c r="G27" s="21"/>
      <c r="I27" s="147"/>
      <c r="J27" s="190"/>
      <c r="K27" s="190"/>
      <c r="L27" s="190"/>
      <c r="M27" s="190"/>
      <c r="N27" s="190"/>
      <c r="O27" s="120"/>
    </row>
    <row r="28" spans="1:21" ht="13.5" customHeight="1">
      <c r="A28" s="20">
        <v>12</v>
      </c>
      <c r="B28" s="21">
        <v>20.431000000000001</v>
      </c>
      <c r="C28" s="21">
        <v>12.462</v>
      </c>
      <c r="D28" s="21">
        <v>71.253</v>
      </c>
      <c r="E28" s="21">
        <v>37.978000000000002</v>
      </c>
      <c r="F28" s="21"/>
      <c r="G28" s="21"/>
      <c r="I28" s="148"/>
      <c r="J28" s="129"/>
      <c r="K28" s="129"/>
      <c r="L28" s="129"/>
      <c r="M28" s="129"/>
      <c r="N28" s="129"/>
      <c r="O28" s="130"/>
    </row>
    <row r="29" spans="1:21" ht="19.95" customHeight="1">
      <c r="A29" s="20">
        <v>13</v>
      </c>
      <c r="B29" s="21">
        <v>20.314</v>
      </c>
      <c r="C29" s="21">
        <v>12.423</v>
      </c>
      <c r="D29" s="21">
        <v>70.998999999999995</v>
      </c>
      <c r="E29" s="21">
        <v>37.866999999999997</v>
      </c>
      <c r="F29" s="21"/>
      <c r="G29" s="21"/>
      <c r="I29" s="192" t="s">
        <v>181</v>
      </c>
      <c r="J29" s="113"/>
      <c r="K29" s="113"/>
      <c r="L29" s="113"/>
      <c r="M29" s="113"/>
      <c r="N29" s="113"/>
      <c r="O29" s="114"/>
      <c r="P29" s="12"/>
      <c r="Q29" s="12"/>
      <c r="R29" s="12"/>
      <c r="S29" s="12"/>
      <c r="T29" s="12"/>
      <c r="U29" s="12"/>
    </row>
    <row r="30" spans="1:21" ht="13.5" customHeight="1">
      <c r="A30" s="20">
        <v>14</v>
      </c>
      <c r="B30" s="21">
        <v>20.292999999999999</v>
      </c>
      <c r="C30" s="21">
        <v>12.505000000000001</v>
      </c>
      <c r="D30" s="21">
        <v>71.027000000000001</v>
      </c>
      <c r="E30" s="21">
        <v>37.966999999999999</v>
      </c>
      <c r="F30" s="21"/>
      <c r="G30" s="21"/>
      <c r="I30" s="191"/>
      <c r="J30" s="155"/>
      <c r="K30" s="155"/>
      <c r="L30" s="155"/>
      <c r="M30" s="155"/>
      <c r="N30" s="155"/>
      <c r="O30" s="133"/>
    </row>
    <row r="31" spans="1:21" ht="13.5" customHeight="1">
      <c r="A31" s="20">
        <v>15</v>
      </c>
      <c r="B31" s="21">
        <v>20.452000000000002</v>
      </c>
      <c r="C31" s="21">
        <v>12.443</v>
      </c>
      <c r="D31" s="21">
        <v>71.286000000000001</v>
      </c>
      <c r="E31" s="21">
        <v>37.911000000000001</v>
      </c>
      <c r="F31" s="21"/>
      <c r="G31" s="21"/>
      <c r="I31" s="147"/>
      <c r="J31" s="190"/>
      <c r="K31" s="190"/>
      <c r="L31" s="190"/>
      <c r="M31" s="190"/>
      <c r="N31" s="190"/>
      <c r="O31" s="120"/>
    </row>
    <row r="32" spans="1:21" ht="13.5" customHeight="1">
      <c r="A32" s="20">
        <v>16</v>
      </c>
      <c r="B32" s="21">
        <v>20.356999999999999</v>
      </c>
      <c r="C32" s="21">
        <v>12.401</v>
      </c>
      <c r="D32" s="21">
        <v>71.185000000000002</v>
      </c>
      <c r="E32" s="21">
        <v>37.926000000000002</v>
      </c>
      <c r="F32" s="21"/>
      <c r="G32" s="21"/>
      <c r="I32" s="147"/>
      <c r="J32" s="190"/>
      <c r="K32" s="190"/>
      <c r="L32" s="190"/>
      <c r="M32" s="190"/>
      <c r="N32" s="190"/>
      <c r="O32" s="120"/>
    </row>
    <row r="33" spans="1:15" ht="13.5" customHeight="1">
      <c r="A33" s="20">
        <v>17</v>
      </c>
      <c r="B33" s="21">
        <v>20.352</v>
      </c>
      <c r="C33" s="21">
        <v>12.48</v>
      </c>
      <c r="D33" s="21">
        <v>71.174000000000007</v>
      </c>
      <c r="E33" s="21">
        <v>38.012999999999998</v>
      </c>
      <c r="F33" s="21"/>
      <c r="G33" s="21"/>
      <c r="I33" s="147"/>
      <c r="J33" s="190"/>
      <c r="K33" s="190"/>
      <c r="L33" s="190"/>
      <c r="M33" s="190"/>
      <c r="N33" s="190"/>
      <c r="O33" s="120"/>
    </row>
    <row r="34" spans="1:15" ht="13.5" customHeight="1">
      <c r="A34" s="20">
        <v>18</v>
      </c>
      <c r="B34" s="21">
        <v>20.376999999999999</v>
      </c>
      <c r="C34" s="21">
        <v>12.673999999999999</v>
      </c>
      <c r="D34" s="21">
        <v>71.230999999999995</v>
      </c>
      <c r="E34" s="21">
        <v>37.808</v>
      </c>
      <c r="F34" s="21"/>
      <c r="G34" s="21"/>
      <c r="I34" s="148"/>
      <c r="J34" s="129"/>
      <c r="K34" s="129"/>
      <c r="L34" s="129"/>
      <c r="M34" s="129"/>
      <c r="N34" s="129"/>
      <c r="O34" s="130"/>
    </row>
    <row r="35" spans="1:15" ht="13.5" customHeight="1">
      <c r="A35" s="20">
        <v>19</v>
      </c>
      <c r="B35" s="21">
        <v>20.376999999999999</v>
      </c>
      <c r="C35" s="21">
        <v>12.673999999999999</v>
      </c>
      <c r="D35" s="21">
        <v>71.097999999999999</v>
      </c>
      <c r="E35" s="21">
        <v>38.003</v>
      </c>
      <c r="F35" s="21"/>
      <c r="G35" s="21"/>
      <c r="J35" s="12"/>
      <c r="K35" s="12"/>
    </row>
    <row r="36" spans="1:15" ht="13.5" customHeight="1">
      <c r="A36" s="20">
        <v>20</v>
      </c>
      <c r="B36" s="21">
        <v>20.382999999999999</v>
      </c>
      <c r="C36" s="21">
        <v>12.509</v>
      </c>
      <c r="D36" s="21">
        <v>71.198999999999998</v>
      </c>
      <c r="E36" s="21">
        <v>37.914999999999999</v>
      </c>
      <c r="F36" s="21"/>
      <c r="G36" s="21"/>
      <c r="J36" s="12"/>
      <c r="K36" s="12"/>
    </row>
    <row r="37" spans="1:15" ht="13.5" customHeight="1">
      <c r="A37" s="20">
        <v>21</v>
      </c>
      <c r="B37" s="21">
        <v>20.43</v>
      </c>
      <c r="C37" s="21">
        <v>12.507</v>
      </c>
      <c r="D37" s="21">
        <v>71.236999999999995</v>
      </c>
      <c r="E37" s="21">
        <v>37.564</v>
      </c>
      <c r="F37" s="21"/>
      <c r="G37" s="21"/>
      <c r="J37" s="12"/>
      <c r="K37" s="12"/>
    </row>
    <row r="38" spans="1:15" ht="13.5" customHeight="1">
      <c r="A38" s="20">
        <v>22</v>
      </c>
      <c r="B38" s="21">
        <v>20.373000000000001</v>
      </c>
      <c r="C38" s="21">
        <v>12.456</v>
      </c>
      <c r="D38" s="21">
        <v>71.131</v>
      </c>
      <c r="E38" s="21">
        <v>37.805</v>
      </c>
      <c r="F38" s="21"/>
      <c r="G38" s="21"/>
      <c r="J38" s="12"/>
      <c r="K38" s="12"/>
    </row>
    <row r="39" spans="1:15" ht="13.5" customHeight="1">
      <c r="A39" s="20">
        <v>23</v>
      </c>
      <c r="B39" s="21">
        <v>20.367999999999999</v>
      </c>
      <c r="C39" s="21">
        <v>12.43</v>
      </c>
      <c r="D39" s="21">
        <v>71.183000000000007</v>
      </c>
      <c r="E39" s="21">
        <v>37.704999999999998</v>
      </c>
      <c r="F39" s="21"/>
      <c r="G39" s="21"/>
      <c r="J39" s="12"/>
      <c r="K39" s="12"/>
    </row>
    <row r="40" spans="1:15" ht="13.5" customHeight="1">
      <c r="A40" s="20">
        <v>24</v>
      </c>
      <c r="B40" s="21">
        <v>20.268000000000001</v>
      </c>
      <c r="C40" s="21">
        <v>12.808999999999999</v>
      </c>
      <c r="D40" s="21">
        <v>71.034000000000006</v>
      </c>
      <c r="E40" s="21">
        <v>38.01</v>
      </c>
      <c r="F40" s="21"/>
      <c r="G40" s="21"/>
      <c r="J40" s="12"/>
      <c r="K40" s="12"/>
    </row>
    <row r="41" spans="1:15" ht="13.5" customHeight="1">
      <c r="A41" s="20">
        <v>25</v>
      </c>
      <c r="B41" s="21">
        <v>20.297999999999998</v>
      </c>
      <c r="C41" s="21">
        <v>12.503</v>
      </c>
      <c r="D41" s="21">
        <v>71.185000000000002</v>
      </c>
      <c r="E41" s="21">
        <v>37.942999999999998</v>
      </c>
      <c r="F41" s="21"/>
      <c r="G41" s="21"/>
      <c r="J41" s="12"/>
      <c r="K41" s="12"/>
    </row>
    <row r="42" spans="1:15" ht="13.5" customHeight="1">
      <c r="A42" s="20">
        <v>26</v>
      </c>
      <c r="B42" s="21">
        <v>20.358000000000001</v>
      </c>
      <c r="C42" s="21">
        <v>12.420999999999999</v>
      </c>
      <c r="D42" s="21">
        <v>71.150000000000006</v>
      </c>
      <c r="E42" s="21">
        <v>37.701000000000001</v>
      </c>
      <c r="F42" s="21"/>
      <c r="G42" s="21"/>
      <c r="J42" s="12"/>
      <c r="K42" s="12"/>
    </row>
    <row r="43" spans="1:15" ht="13.5" customHeight="1">
      <c r="A43" s="20">
        <v>27</v>
      </c>
      <c r="B43" s="21">
        <v>20.254999999999999</v>
      </c>
      <c r="C43" s="21">
        <v>12.573</v>
      </c>
      <c r="D43" s="21">
        <v>71.016000000000005</v>
      </c>
      <c r="E43" s="21">
        <v>37.822000000000003</v>
      </c>
      <c r="F43" s="21"/>
      <c r="G43" s="21"/>
      <c r="J43" s="12"/>
      <c r="K43" s="12"/>
    </row>
    <row r="44" spans="1:15" ht="13.5" customHeight="1">
      <c r="A44" s="20">
        <v>28</v>
      </c>
      <c r="B44" s="21">
        <v>20.28</v>
      </c>
      <c r="C44" s="21">
        <v>12.401</v>
      </c>
      <c r="D44" s="21">
        <v>71.043999999999997</v>
      </c>
      <c r="E44" s="21">
        <v>38.031999999999996</v>
      </c>
      <c r="F44" s="21"/>
      <c r="G44" s="21"/>
      <c r="J44" s="12"/>
      <c r="K44" s="12"/>
    </row>
    <row r="45" spans="1:15" ht="13.5" customHeight="1">
      <c r="A45" s="20">
        <v>29</v>
      </c>
      <c r="B45" s="21">
        <v>20.388000000000002</v>
      </c>
      <c r="C45" s="21">
        <v>12.63</v>
      </c>
      <c r="D45" s="21">
        <v>71.049000000000007</v>
      </c>
      <c r="E45" s="21">
        <v>38.051000000000002</v>
      </c>
      <c r="F45" s="21"/>
      <c r="G45" s="21"/>
      <c r="K45" s="12"/>
    </row>
    <row r="46" spans="1:15" ht="13.5" customHeight="1">
      <c r="A46" s="20">
        <v>30</v>
      </c>
      <c r="B46" s="21">
        <v>20.300999999999998</v>
      </c>
      <c r="C46" s="21">
        <v>12.483000000000001</v>
      </c>
      <c r="D46" s="21">
        <v>71.186999999999998</v>
      </c>
      <c r="E46" s="21">
        <v>37.954000000000001</v>
      </c>
      <c r="F46" s="21"/>
      <c r="G46" s="21"/>
      <c r="K46" s="12"/>
    </row>
  </sheetData>
  <mergeCells count="6">
    <mergeCell ref="B16:G16"/>
    <mergeCell ref="A1:G1"/>
    <mergeCell ref="I4:O28"/>
    <mergeCell ref="I30:O34"/>
    <mergeCell ref="I3:O3"/>
    <mergeCell ref="I29:O29"/>
  </mergeCells>
  <phoneticPr fontId="47" type="noConversion"/>
  <conditionalFormatting sqref="B14:G14">
    <cfRule type="cellIs" dxfId="59" priority="13" stopIfTrue="1" operator="notBetween">
      <formula>0</formula>
      <formula>$B$3-$B$4</formula>
    </cfRule>
    <cfRule type="cellIs" dxfId="58" priority="14" stopIfTrue="1" operator="between">
      <formula>0</formula>
      <formula>$B$3-$B$4</formula>
    </cfRule>
  </conditionalFormatting>
  <conditionalFormatting sqref="B6:B8">
    <cfRule type="cellIs" dxfId="57" priority="19" stopIfTrue="1" operator="greaterThanOrEqual">
      <formula>1.33</formula>
    </cfRule>
    <cfRule type="cellIs" dxfId="56" priority="20" stopIfTrue="1" operator="lessThan">
      <formula>1.33</formula>
    </cfRule>
  </conditionalFormatting>
  <conditionalFormatting sqref="E17:E46">
    <cfRule type="cellIs" dxfId="55" priority="9" stopIfTrue="1" operator="notBetween">
      <formula>E$3</formula>
      <formula>E$4</formula>
    </cfRule>
    <cfRule type="cellIs" dxfId="54" priority="10" stopIfTrue="1" operator="between">
      <formula>E$3</formula>
      <formula>E$4</formula>
    </cfRule>
  </conditionalFormatting>
  <conditionalFormatting sqref="F17:F46">
    <cfRule type="cellIs" dxfId="53" priority="11" stopIfTrue="1" operator="notBetween">
      <formula>F$3</formula>
      <formula>F$4</formula>
    </cfRule>
    <cfRule type="cellIs" dxfId="52" priority="12" stopIfTrue="1" operator="between">
      <formula>F$3</formula>
      <formula>F$4</formula>
    </cfRule>
  </conditionalFormatting>
  <conditionalFormatting sqref="G6:G8">
    <cfRule type="cellIs" dxfId="51" priority="3" stopIfTrue="1" operator="greaterThanOrEqual">
      <formula>1.33</formula>
    </cfRule>
    <cfRule type="cellIs" dxfId="50" priority="4" stopIfTrue="1" operator="lessThan">
      <formula>1.33</formula>
    </cfRule>
  </conditionalFormatting>
  <conditionalFormatting sqref="G10:G13">
    <cfRule type="cellIs" dxfId="49" priority="1" stopIfTrue="1" operator="notBetween">
      <formula>G$3</formula>
      <formula>G$4</formula>
    </cfRule>
    <cfRule type="cellIs" dxfId="48" priority="2" stopIfTrue="1" operator="between">
      <formula>G$3</formula>
      <formula>G$4</formula>
    </cfRule>
  </conditionalFormatting>
  <conditionalFormatting sqref="G17:G46">
    <cfRule type="cellIs" dxfId="47" priority="5" stopIfTrue="1" operator="notBetween">
      <formula>G$3</formula>
      <formula>G$4</formula>
    </cfRule>
    <cfRule type="cellIs" dxfId="46" priority="6" stopIfTrue="1" operator="between">
      <formula>G$3</formula>
      <formula>G$4</formula>
    </cfRule>
  </conditionalFormatting>
  <conditionalFormatting sqref="C6:F8">
    <cfRule type="cellIs" dxfId="45" priority="17" stopIfTrue="1" operator="greaterThanOrEqual">
      <formula>1.33</formula>
    </cfRule>
    <cfRule type="cellIs" dxfId="44" priority="18" stopIfTrue="1" operator="lessThan">
      <formula>1.33</formula>
    </cfRule>
  </conditionalFormatting>
  <conditionalFormatting sqref="B10:F13">
    <cfRule type="cellIs" dxfId="43" priority="15" stopIfTrue="1" operator="notBetween">
      <formula>B$3</formula>
      <formula>B$4</formula>
    </cfRule>
    <cfRule type="cellIs" dxfId="42" priority="16" stopIfTrue="1" operator="between">
      <formula>B$3</formula>
      <formula>B$4</formula>
    </cfRule>
  </conditionalFormatting>
  <conditionalFormatting sqref="B17:D46">
    <cfRule type="cellIs" dxfId="41" priority="7" stopIfTrue="1" operator="notBetween">
      <formula>B$3</formula>
      <formula>B$4</formula>
    </cfRule>
    <cfRule type="cellIs" dxfId="40" priority="8" stopIfTrue="1" operator="between">
      <formula>B$3</formula>
      <formula>B$4</formula>
    </cfRule>
  </conditionalFormatting>
  <pageMargins left="0.70866141732283505" right="0.70866141732283505" top="0.74803149606299202" bottom="0.74803149606299202" header="0.31496062992126" footer="0.31496062992126"/>
  <pageSetup paperSize="9" orientation="landscape"/>
  <headerFooter>
    <oddHeader>&amp;L&amp;G</oddHeader>
  </headerFooter>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U46"/>
  <sheetViews>
    <sheetView showGridLines="0" zoomScaleNormal="100" workbookViewId="0">
      <selection activeCell="P4" sqref="P4"/>
    </sheetView>
  </sheetViews>
  <sheetFormatPr defaultColWidth="9" defaultRowHeight="13.2"/>
  <cols>
    <col min="1" max="1" width="8.6640625" style="12" customWidth="1"/>
    <col min="2" max="4" width="7.44140625" style="13" customWidth="1"/>
    <col min="5" max="5" width="7.44140625" style="102" customWidth="1"/>
    <col min="6" max="7" width="6.109375" style="13" customWidth="1"/>
    <col min="8" max="10" width="7.44140625" style="13" customWidth="1"/>
    <col min="11" max="256" width="8.88671875" style="13" customWidth="1"/>
    <col min="257" max="257" width="8.6640625" style="13" customWidth="1"/>
    <col min="258" max="263" width="6.109375" style="13" customWidth="1"/>
    <col min="264" max="264" width="2" style="13" customWidth="1"/>
    <col min="265" max="266" width="7.44140625" style="13" customWidth="1"/>
    <col min="267" max="512" width="8.88671875" style="13" customWidth="1"/>
    <col min="513" max="513" width="8.6640625" style="13" customWidth="1"/>
    <col min="514" max="519" width="6.109375" style="13" customWidth="1"/>
    <col min="520" max="520" width="2" style="13" customWidth="1"/>
    <col min="521" max="522" width="7.44140625" style="13" customWidth="1"/>
    <col min="523" max="768" width="8.88671875" style="13" customWidth="1"/>
    <col min="769" max="769" width="8.6640625" style="13" customWidth="1"/>
    <col min="770" max="775" width="6.109375" style="13" customWidth="1"/>
    <col min="776" max="776" width="2" style="13" customWidth="1"/>
    <col min="777" max="778" width="7.44140625" style="13" customWidth="1"/>
    <col min="779" max="1024" width="8.88671875" style="13" customWidth="1"/>
    <col min="1025" max="1025" width="8.6640625" style="13" customWidth="1"/>
    <col min="1026" max="1031" width="6.109375" style="13" customWidth="1"/>
    <col min="1032" max="1032" width="2" style="13" customWidth="1"/>
    <col min="1033" max="1034" width="7.44140625" style="13" customWidth="1"/>
    <col min="1035" max="1280" width="8.88671875" style="13" customWidth="1"/>
    <col min="1281" max="1281" width="8.6640625" style="13" customWidth="1"/>
    <col min="1282" max="1287" width="6.109375" style="13" customWidth="1"/>
    <col min="1288" max="1288" width="2" style="13" customWidth="1"/>
    <col min="1289" max="1290" width="7.44140625" style="13" customWidth="1"/>
    <col min="1291" max="1536" width="8.88671875" style="13" customWidth="1"/>
    <col min="1537" max="1537" width="8.6640625" style="13" customWidth="1"/>
    <col min="1538" max="1543" width="6.109375" style="13" customWidth="1"/>
    <col min="1544" max="1544" width="2" style="13" customWidth="1"/>
    <col min="1545" max="1546" width="7.44140625" style="13" customWidth="1"/>
    <col min="1547" max="1792" width="8.88671875" style="13" customWidth="1"/>
    <col min="1793" max="1793" width="8.6640625" style="13" customWidth="1"/>
    <col min="1794" max="1799" width="6.109375" style="13" customWidth="1"/>
    <col min="1800" max="1800" width="2" style="13" customWidth="1"/>
    <col min="1801" max="1802" width="7.44140625" style="13" customWidth="1"/>
    <col min="1803" max="2048" width="8.88671875" style="13" customWidth="1"/>
    <col min="2049" max="2049" width="8.6640625" style="13" customWidth="1"/>
    <col min="2050" max="2055" width="6.109375" style="13" customWidth="1"/>
    <col min="2056" max="2056" width="2" style="13" customWidth="1"/>
    <col min="2057" max="2058" width="7.44140625" style="13" customWidth="1"/>
    <col min="2059" max="2304" width="8.88671875" style="13" customWidth="1"/>
    <col min="2305" max="2305" width="8.6640625" style="13" customWidth="1"/>
    <col min="2306" max="2311" width="6.109375" style="13" customWidth="1"/>
    <col min="2312" max="2312" width="2" style="13" customWidth="1"/>
    <col min="2313" max="2314" width="7.44140625" style="13" customWidth="1"/>
    <col min="2315" max="2560" width="8.88671875" style="13" customWidth="1"/>
    <col min="2561" max="2561" width="8.6640625" style="13" customWidth="1"/>
    <col min="2562" max="2567" width="6.109375" style="13" customWidth="1"/>
    <col min="2568" max="2568" width="2" style="13" customWidth="1"/>
    <col min="2569" max="2570" width="7.44140625" style="13" customWidth="1"/>
    <col min="2571" max="2816" width="8.88671875" style="13" customWidth="1"/>
    <col min="2817" max="2817" width="8.6640625" style="13" customWidth="1"/>
    <col min="2818" max="2823" width="6.109375" style="13" customWidth="1"/>
    <col min="2824" max="2824" width="2" style="13" customWidth="1"/>
    <col min="2825" max="2826" width="7.44140625" style="13" customWidth="1"/>
    <col min="2827" max="3072" width="8.88671875" style="13" customWidth="1"/>
    <col min="3073" max="3073" width="8.6640625" style="13" customWidth="1"/>
    <col min="3074" max="3079" width="6.109375" style="13" customWidth="1"/>
    <col min="3080" max="3080" width="2" style="13" customWidth="1"/>
    <col min="3081" max="3082" width="7.44140625" style="13" customWidth="1"/>
    <col min="3083" max="3328" width="8.88671875" style="13" customWidth="1"/>
    <col min="3329" max="3329" width="8.6640625" style="13" customWidth="1"/>
    <col min="3330" max="3335" width="6.109375" style="13" customWidth="1"/>
    <col min="3336" max="3336" width="2" style="13" customWidth="1"/>
    <col min="3337" max="3338" width="7.44140625" style="13" customWidth="1"/>
    <col min="3339" max="3584" width="8.88671875" style="13" customWidth="1"/>
    <col min="3585" max="3585" width="8.6640625" style="13" customWidth="1"/>
    <col min="3586" max="3591" width="6.109375" style="13" customWidth="1"/>
    <col min="3592" max="3592" width="2" style="13" customWidth="1"/>
    <col min="3593" max="3594" width="7.44140625" style="13" customWidth="1"/>
    <col min="3595" max="3840" width="8.88671875" style="13" customWidth="1"/>
    <col min="3841" max="3841" width="8.6640625" style="13" customWidth="1"/>
    <col min="3842" max="3847" width="6.109375" style="13" customWidth="1"/>
    <col min="3848" max="3848" width="2" style="13" customWidth="1"/>
    <col min="3849" max="3850" width="7.44140625" style="13" customWidth="1"/>
    <col min="3851" max="4096" width="8.88671875" style="13" customWidth="1"/>
    <col min="4097" max="4097" width="8.6640625" style="13" customWidth="1"/>
    <col min="4098" max="4103" width="6.109375" style="13" customWidth="1"/>
    <col min="4104" max="4104" width="2" style="13" customWidth="1"/>
    <col min="4105" max="4106" width="7.44140625" style="13" customWidth="1"/>
    <col min="4107" max="4352" width="8.88671875" style="13" customWidth="1"/>
    <col min="4353" max="4353" width="8.6640625" style="13" customWidth="1"/>
    <col min="4354" max="4359" width="6.109375" style="13" customWidth="1"/>
    <col min="4360" max="4360" width="2" style="13" customWidth="1"/>
    <col min="4361" max="4362" width="7.44140625" style="13" customWidth="1"/>
    <col min="4363" max="4608" width="8.88671875" style="13" customWidth="1"/>
    <col min="4609" max="4609" width="8.6640625" style="13" customWidth="1"/>
    <col min="4610" max="4615" width="6.109375" style="13" customWidth="1"/>
    <col min="4616" max="4616" width="2" style="13" customWidth="1"/>
    <col min="4617" max="4618" width="7.44140625" style="13" customWidth="1"/>
    <col min="4619" max="4864" width="8.88671875" style="13" customWidth="1"/>
    <col min="4865" max="4865" width="8.6640625" style="13" customWidth="1"/>
    <col min="4866" max="4871" width="6.109375" style="13" customWidth="1"/>
    <col min="4872" max="4872" width="2" style="13" customWidth="1"/>
    <col min="4873" max="4874" width="7.44140625" style="13" customWidth="1"/>
    <col min="4875" max="5120" width="8.88671875" style="13" customWidth="1"/>
    <col min="5121" max="5121" width="8.6640625" style="13" customWidth="1"/>
    <col min="5122" max="5127" width="6.109375" style="13" customWidth="1"/>
    <col min="5128" max="5128" width="2" style="13" customWidth="1"/>
    <col min="5129" max="5130" width="7.44140625" style="13" customWidth="1"/>
    <col min="5131" max="5376" width="8.88671875" style="13" customWidth="1"/>
    <col min="5377" max="5377" width="8.6640625" style="13" customWidth="1"/>
    <col min="5378" max="5383" width="6.109375" style="13" customWidth="1"/>
    <col min="5384" max="5384" width="2" style="13" customWidth="1"/>
    <col min="5385" max="5386" width="7.44140625" style="13" customWidth="1"/>
    <col min="5387" max="5632" width="8.88671875" style="13" customWidth="1"/>
    <col min="5633" max="5633" width="8.6640625" style="13" customWidth="1"/>
    <col min="5634" max="5639" width="6.109375" style="13" customWidth="1"/>
    <col min="5640" max="5640" width="2" style="13" customWidth="1"/>
    <col min="5641" max="5642" width="7.44140625" style="13" customWidth="1"/>
    <col min="5643" max="5888" width="8.88671875" style="13" customWidth="1"/>
    <col min="5889" max="5889" width="8.6640625" style="13" customWidth="1"/>
    <col min="5890" max="5895" width="6.109375" style="13" customWidth="1"/>
    <col min="5896" max="5896" width="2" style="13" customWidth="1"/>
    <col min="5897" max="5898" width="7.44140625" style="13" customWidth="1"/>
    <col min="5899" max="6144" width="8.88671875" style="13" customWidth="1"/>
    <col min="6145" max="6145" width="8.6640625" style="13" customWidth="1"/>
    <col min="6146" max="6151" width="6.109375" style="13" customWidth="1"/>
    <col min="6152" max="6152" width="2" style="13" customWidth="1"/>
    <col min="6153" max="6154" width="7.44140625" style="13" customWidth="1"/>
    <col min="6155" max="6400" width="8.88671875" style="13" customWidth="1"/>
    <col min="6401" max="6401" width="8.6640625" style="13" customWidth="1"/>
    <col min="6402" max="6407" width="6.109375" style="13" customWidth="1"/>
    <col min="6408" max="6408" width="2" style="13" customWidth="1"/>
    <col min="6409" max="6410" width="7.44140625" style="13" customWidth="1"/>
    <col min="6411" max="6656" width="8.88671875" style="13" customWidth="1"/>
    <col min="6657" max="6657" width="8.6640625" style="13" customWidth="1"/>
    <col min="6658" max="6663" width="6.109375" style="13" customWidth="1"/>
    <col min="6664" max="6664" width="2" style="13" customWidth="1"/>
    <col min="6665" max="6666" width="7.44140625" style="13" customWidth="1"/>
    <col min="6667" max="6912" width="8.88671875" style="13" customWidth="1"/>
    <col min="6913" max="6913" width="8.6640625" style="13" customWidth="1"/>
    <col min="6914" max="6919" width="6.109375" style="13" customWidth="1"/>
    <col min="6920" max="6920" width="2" style="13" customWidth="1"/>
    <col min="6921" max="6922" width="7.44140625" style="13" customWidth="1"/>
    <col min="6923" max="7168" width="8.88671875" style="13" customWidth="1"/>
    <col min="7169" max="7169" width="8.6640625" style="13" customWidth="1"/>
    <col min="7170" max="7175" width="6.109375" style="13" customWidth="1"/>
    <col min="7176" max="7176" width="2" style="13" customWidth="1"/>
    <col min="7177" max="7178" width="7.44140625" style="13" customWidth="1"/>
    <col min="7179" max="7424" width="8.88671875" style="13" customWidth="1"/>
    <col min="7425" max="7425" width="8.6640625" style="13" customWidth="1"/>
    <col min="7426" max="7431" width="6.109375" style="13" customWidth="1"/>
    <col min="7432" max="7432" width="2" style="13" customWidth="1"/>
    <col min="7433" max="7434" width="7.44140625" style="13" customWidth="1"/>
    <col min="7435" max="7680" width="8.88671875" style="13" customWidth="1"/>
    <col min="7681" max="7681" width="8.6640625" style="13" customWidth="1"/>
    <col min="7682" max="7687" width="6.109375" style="13" customWidth="1"/>
    <col min="7688" max="7688" width="2" style="13" customWidth="1"/>
    <col min="7689" max="7690" width="7.44140625" style="13" customWidth="1"/>
    <col min="7691" max="7936" width="8.88671875" style="13" customWidth="1"/>
    <col min="7937" max="7937" width="8.6640625" style="13" customWidth="1"/>
    <col min="7938" max="7943" width="6.109375" style="13" customWidth="1"/>
    <col min="7944" max="7944" width="2" style="13" customWidth="1"/>
    <col min="7945" max="7946" width="7.44140625" style="13" customWidth="1"/>
    <col min="7947" max="8192" width="8.88671875" style="13" customWidth="1"/>
    <col min="8193" max="8193" width="8.6640625" style="13" customWidth="1"/>
    <col min="8194" max="8199" width="6.109375" style="13" customWidth="1"/>
    <col min="8200" max="8200" width="2" style="13" customWidth="1"/>
    <col min="8201" max="8202" width="7.44140625" style="13" customWidth="1"/>
    <col min="8203" max="8448" width="8.88671875" style="13" customWidth="1"/>
    <col min="8449" max="8449" width="8.6640625" style="13" customWidth="1"/>
    <col min="8450" max="8455" width="6.109375" style="13" customWidth="1"/>
    <col min="8456" max="8456" width="2" style="13" customWidth="1"/>
    <col min="8457" max="8458" width="7.44140625" style="13" customWidth="1"/>
    <col min="8459" max="8704" width="8.88671875" style="13" customWidth="1"/>
    <col min="8705" max="8705" width="8.6640625" style="13" customWidth="1"/>
    <col min="8706" max="8711" width="6.109375" style="13" customWidth="1"/>
    <col min="8712" max="8712" width="2" style="13" customWidth="1"/>
    <col min="8713" max="8714" width="7.44140625" style="13" customWidth="1"/>
    <col min="8715" max="8960" width="8.88671875" style="13" customWidth="1"/>
    <col min="8961" max="8961" width="8.6640625" style="13" customWidth="1"/>
    <col min="8962" max="8967" width="6.109375" style="13" customWidth="1"/>
    <col min="8968" max="8968" width="2" style="13" customWidth="1"/>
    <col min="8969" max="8970" width="7.44140625" style="13" customWidth="1"/>
    <col min="8971" max="9216" width="8.88671875" style="13" customWidth="1"/>
    <col min="9217" max="9217" width="8.6640625" style="13" customWidth="1"/>
    <col min="9218" max="9223" width="6.109375" style="13" customWidth="1"/>
    <col min="9224" max="9224" width="2" style="13" customWidth="1"/>
    <col min="9225" max="9226" width="7.44140625" style="13" customWidth="1"/>
    <col min="9227" max="9472" width="8.88671875" style="13" customWidth="1"/>
    <col min="9473" max="9473" width="8.6640625" style="13" customWidth="1"/>
    <col min="9474" max="9479" width="6.109375" style="13" customWidth="1"/>
    <col min="9480" max="9480" width="2" style="13" customWidth="1"/>
    <col min="9481" max="9482" width="7.44140625" style="13" customWidth="1"/>
    <col min="9483" max="9728" width="8.88671875" style="13" customWidth="1"/>
    <col min="9729" max="9729" width="8.6640625" style="13" customWidth="1"/>
    <col min="9730" max="9735" width="6.109375" style="13" customWidth="1"/>
    <col min="9736" max="9736" width="2" style="13" customWidth="1"/>
    <col min="9737" max="9738" width="7.44140625" style="13" customWidth="1"/>
    <col min="9739" max="9984" width="8.88671875" style="13" customWidth="1"/>
    <col min="9985" max="9985" width="8.6640625" style="13" customWidth="1"/>
    <col min="9986" max="9991" width="6.109375" style="13" customWidth="1"/>
    <col min="9992" max="9992" width="2" style="13" customWidth="1"/>
    <col min="9993" max="9994" width="7.44140625" style="13" customWidth="1"/>
    <col min="9995" max="10240" width="8.88671875" style="13" customWidth="1"/>
    <col min="10241" max="10241" width="8.6640625" style="13" customWidth="1"/>
    <col min="10242" max="10247" width="6.109375" style="13" customWidth="1"/>
    <col min="10248" max="10248" width="2" style="13" customWidth="1"/>
    <col min="10249" max="10250" width="7.44140625" style="13" customWidth="1"/>
    <col min="10251" max="10496" width="8.88671875" style="13" customWidth="1"/>
    <col min="10497" max="10497" width="8.6640625" style="13" customWidth="1"/>
    <col min="10498" max="10503" width="6.109375" style="13" customWidth="1"/>
    <col min="10504" max="10504" width="2" style="13" customWidth="1"/>
    <col min="10505" max="10506" width="7.44140625" style="13" customWidth="1"/>
    <col min="10507" max="10752" width="8.88671875" style="13" customWidth="1"/>
    <col min="10753" max="10753" width="8.6640625" style="13" customWidth="1"/>
    <col min="10754" max="10759" width="6.109375" style="13" customWidth="1"/>
    <col min="10760" max="10760" width="2" style="13" customWidth="1"/>
    <col min="10761" max="10762" width="7.44140625" style="13" customWidth="1"/>
    <col min="10763" max="11008" width="8.88671875" style="13" customWidth="1"/>
    <col min="11009" max="11009" width="8.6640625" style="13" customWidth="1"/>
    <col min="11010" max="11015" width="6.109375" style="13" customWidth="1"/>
    <col min="11016" max="11016" width="2" style="13" customWidth="1"/>
    <col min="11017" max="11018" width="7.44140625" style="13" customWidth="1"/>
    <col min="11019" max="11264" width="8.88671875" style="13" customWidth="1"/>
    <col min="11265" max="11265" width="8.6640625" style="13" customWidth="1"/>
    <col min="11266" max="11271" width="6.109375" style="13" customWidth="1"/>
    <col min="11272" max="11272" width="2" style="13" customWidth="1"/>
    <col min="11273" max="11274" width="7.44140625" style="13" customWidth="1"/>
    <col min="11275" max="11520" width="8.88671875" style="13" customWidth="1"/>
    <col min="11521" max="11521" width="8.6640625" style="13" customWidth="1"/>
    <col min="11522" max="11527" width="6.109375" style="13" customWidth="1"/>
    <col min="11528" max="11528" width="2" style="13" customWidth="1"/>
    <col min="11529" max="11530" width="7.44140625" style="13" customWidth="1"/>
    <col min="11531" max="11776" width="8.88671875" style="13" customWidth="1"/>
    <col min="11777" max="11777" width="8.6640625" style="13" customWidth="1"/>
    <col min="11778" max="11783" width="6.109375" style="13" customWidth="1"/>
    <col min="11784" max="11784" width="2" style="13" customWidth="1"/>
    <col min="11785" max="11786" width="7.44140625" style="13" customWidth="1"/>
    <col min="11787" max="12032" width="8.88671875" style="13" customWidth="1"/>
    <col min="12033" max="12033" width="8.6640625" style="13" customWidth="1"/>
    <col min="12034" max="12039" width="6.109375" style="13" customWidth="1"/>
    <col min="12040" max="12040" width="2" style="13" customWidth="1"/>
    <col min="12041" max="12042" width="7.44140625" style="13" customWidth="1"/>
    <col min="12043" max="12288" width="8.88671875" style="13" customWidth="1"/>
    <col min="12289" max="12289" width="8.6640625" style="13" customWidth="1"/>
    <col min="12290" max="12295" width="6.109375" style="13" customWidth="1"/>
    <col min="12296" max="12296" width="2" style="13" customWidth="1"/>
    <col min="12297" max="12298" width="7.44140625" style="13" customWidth="1"/>
    <col min="12299" max="12544" width="8.88671875" style="13" customWidth="1"/>
    <col min="12545" max="12545" width="8.6640625" style="13" customWidth="1"/>
    <col min="12546" max="12551" width="6.109375" style="13" customWidth="1"/>
    <col min="12552" max="12552" width="2" style="13" customWidth="1"/>
    <col min="12553" max="12554" width="7.44140625" style="13" customWidth="1"/>
    <col min="12555" max="12800" width="8.88671875" style="13" customWidth="1"/>
    <col min="12801" max="12801" width="8.6640625" style="13" customWidth="1"/>
    <col min="12802" max="12807" width="6.109375" style="13" customWidth="1"/>
    <col min="12808" max="12808" width="2" style="13" customWidth="1"/>
    <col min="12809" max="12810" width="7.44140625" style="13" customWidth="1"/>
    <col min="12811" max="13056" width="8.88671875" style="13" customWidth="1"/>
    <col min="13057" max="13057" width="8.6640625" style="13" customWidth="1"/>
    <col min="13058" max="13063" width="6.109375" style="13" customWidth="1"/>
    <col min="13064" max="13064" width="2" style="13" customWidth="1"/>
    <col min="13065" max="13066" width="7.44140625" style="13" customWidth="1"/>
    <col min="13067" max="13312" width="8.88671875" style="13" customWidth="1"/>
    <col min="13313" max="13313" width="8.6640625" style="13" customWidth="1"/>
    <col min="13314" max="13319" width="6.109375" style="13" customWidth="1"/>
    <col min="13320" max="13320" width="2" style="13" customWidth="1"/>
    <col min="13321" max="13322" width="7.44140625" style="13" customWidth="1"/>
    <col min="13323" max="13568" width="8.88671875" style="13" customWidth="1"/>
    <col min="13569" max="13569" width="8.6640625" style="13" customWidth="1"/>
    <col min="13570" max="13575" width="6.109375" style="13" customWidth="1"/>
    <col min="13576" max="13576" width="2" style="13" customWidth="1"/>
    <col min="13577" max="13578" width="7.44140625" style="13" customWidth="1"/>
    <col min="13579" max="13824" width="8.88671875" style="13" customWidth="1"/>
    <col min="13825" max="13825" width="8.6640625" style="13" customWidth="1"/>
    <col min="13826" max="13831" width="6.109375" style="13" customWidth="1"/>
    <col min="13832" max="13832" width="2" style="13" customWidth="1"/>
    <col min="13833" max="13834" width="7.44140625" style="13" customWidth="1"/>
    <col min="13835" max="14080" width="8.88671875" style="13" customWidth="1"/>
    <col min="14081" max="14081" width="8.6640625" style="13" customWidth="1"/>
    <col min="14082" max="14087" width="6.109375" style="13" customWidth="1"/>
    <col min="14088" max="14088" width="2" style="13" customWidth="1"/>
    <col min="14089" max="14090" width="7.44140625" style="13" customWidth="1"/>
    <col min="14091" max="14336" width="8.88671875" style="13" customWidth="1"/>
    <col min="14337" max="14337" width="8.6640625" style="13" customWidth="1"/>
    <col min="14338" max="14343" width="6.109375" style="13" customWidth="1"/>
    <col min="14344" max="14344" width="2" style="13" customWidth="1"/>
    <col min="14345" max="14346" width="7.44140625" style="13" customWidth="1"/>
    <col min="14347" max="14592" width="8.88671875" style="13" customWidth="1"/>
    <col min="14593" max="14593" width="8.6640625" style="13" customWidth="1"/>
    <col min="14594" max="14599" width="6.109375" style="13" customWidth="1"/>
    <col min="14600" max="14600" width="2" style="13" customWidth="1"/>
    <col min="14601" max="14602" width="7.44140625" style="13" customWidth="1"/>
    <col min="14603" max="14848" width="8.88671875" style="13" customWidth="1"/>
    <col min="14849" max="14849" width="8.6640625" style="13" customWidth="1"/>
    <col min="14850" max="14855" width="6.109375" style="13" customWidth="1"/>
    <col min="14856" max="14856" width="2" style="13" customWidth="1"/>
    <col min="14857" max="14858" width="7.44140625" style="13" customWidth="1"/>
    <col min="14859" max="15104" width="8.88671875" style="13" customWidth="1"/>
    <col min="15105" max="15105" width="8.6640625" style="13" customWidth="1"/>
    <col min="15106" max="15111" width="6.109375" style="13" customWidth="1"/>
    <col min="15112" max="15112" width="2" style="13" customWidth="1"/>
    <col min="15113" max="15114" width="7.44140625" style="13" customWidth="1"/>
    <col min="15115" max="15360" width="8.88671875" style="13" customWidth="1"/>
    <col min="15361" max="15361" width="8.6640625" style="13" customWidth="1"/>
    <col min="15362" max="15367" width="6.109375" style="13" customWidth="1"/>
    <col min="15368" max="15368" width="2" style="13" customWidth="1"/>
    <col min="15369" max="15370" width="7.44140625" style="13" customWidth="1"/>
    <col min="15371" max="15616" width="8.88671875" style="13" customWidth="1"/>
    <col min="15617" max="15617" width="8.6640625" style="13" customWidth="1"/>
    <col min="15618" max="15623" width="6.109375" style="13" customWidth="1"/>
    <col min="15624" max="15624" width="2" style="13" customWidth="1"/>
    <col min="15625" max="15626" width="7.44140625" style="13" customWidth="1"/>
    <col min="15627" max="15872" width="8.88671875" style="13" customWidth="1"/>
    <col min="15873" max="15873" width="8.6640625" style="13" customWidth="1"/>
    <col min="15874" max="15879" width="6.109375" style="13" customWidth="1"/>
    <col min="15880" max="15880" width="2" style="13" customWidth="1"/>
    <col min="15881" max="15882" width="7.44140625" style="13" customWidth="1"/>
    <col min="15883" max="16128" width="8.88671875" style="13" customWidth="1"/>
    <col min="16129" max="16129" width="8.6640625" style="13" customWidth="1"/>
    <col min="16130" max="16135" width="6.109375" style="13" customWidth="1"/>
    <col min="16136" max="16136" width="2" style="13" customWidth="1"/>
    <col min="16137" max="16138" width="7.44140625" style="13" customWidth="1"/>
    <col min="16139" max="16384" width="8.88671875" style="13" customWidth="1"/>
  </cols>
  <sheetData>
    <row r="1" spans="1:15" ht="18" customHeight="1">
      <c r="A1" s="188" t="str">
        <f ca="1">MID(CELL("filename",A2),FIND("]",CELL("filename",A2))+1,255)</f>
        <v>CPK测量记录-C36717 (白卡)</v>
      </c>
      <c r="B1" s="129"/>
      <c r="C1" s="129"/>
      <c r="D1" s="129"/>
      <c r="E1" s="129"/>
      <c r="F1" s="129"/>
      <c r="G1" s="129"/>
    </row>
    <row r="2" spans="1:15" ht="13.5" customHeight="1">
      <c r="A2" s="14"/>
      <c r="B2" s="15" t="s">
        <v>163</v>
      </c>
      <c r="C2" s="15" t="s">
        <v>164</v>
      </c>
      <c r="D2" s="15" t="s">
        <v>165</v>
      </c>
      <c r="E2" s="15" t="s">
        <v>166</v>
      </c>
      <c r="F2" s="15"/>
      <c r="G2" s="15"/>
    </row>
    <row r="3" spans="1:15" ht="19.95" customHeight="1">
      <c r="A3" s="16" t="s">
        <v>167</v>
      </c>
      <c r="B3" s="103">
        <v>15.25</v>
      </c>
      <c r="C3" s="103">
        <v>15.25</v>
      </c>
      <c r="D3" s="103">
        <v>15.25</v>
      </c>
      <c r="E3" s="103">
        <v>15.25</v>
      </c>
      <c r="F3" s="103"/>
      <c r="G3" s="103"/>
      <c r="H3" s="104"/>
      <c r="I3" s="192" t="s">
        <v>168</v>
      </c>
      <c r="J3" s="113"/>
      <c r="K3" s="113"/>
      <c r="L3" s="113"/>
      <c r="M3" s="113"/>
      <c r="N3" s="113"/>
      <c r="O3" s="114"/>
    </row>
    <row r="4" spans="1:15" ht="20.55" customHeight="1">
      <c r="A4" s="16" t="s">
        <v>169</v>
      </c>
      <c r="B4" s="105">
        <v>14.75</v>
      </c>
      <c r="C4" s="105">
        <v>14.75</v>
      </c>
      <c r="D4" s="105">
        <v>14.75</v>
      </c>
      <c r="E4" s="103">
        <v>14.75</v>
      </c>
      <c r="F4" s="103"/>
      <c r="G4" s="105"/>
      <c r="H4" s="104"/>
      <c r="I4" s="189"/>
      <c r="J4" s="155"/>
      <c r="K4" s="155"/>
      <c r="L4" s="155"/>
      <c r="M4" s="155"/>
      <c r="N4" s="155"/>
      <c r="O4" s="133"/>
    </row>
    <row r="5" spans="1:15" ht="13.5" customHeight="1">
      <c r="A5" s="17" t="s">
        <v>170</v>
      </c>
      <c r="B5" s="105">
        <f>(B3-B4)/2</f>
        <v>0.25</v>
      </c>
      <c r="C5" s="105">
        <f>(C3-C4)/2</f>
        <v>0.25</v>
      </c>
      <c r="D5" s="105">
        <f>(D3-D4)/2</f>
        <v>0.25</v>
      </c>
      <c r="E5" s="105">
        <f>(E3-E4)/2</f>
        <v>0.25</v>
      </c>
      <c r="F5" s="105"/>
      <c r="G5" s="105"/>
      <c r="H5" s="104"/>
      <c r="I5" s="147"/>
      <c r="J5" s="190"/>
      <c r="K5" s="190"/>
      <c r="L5" s="190"/>
      <c r="M5" s="190"/>
      <c r="N5" s="190"/>
      <c r="O5" s="120"/>
    </row>
    <row r="6" spans="1:15">
      <c r="A6" s="18" t="s">
        <v>171</v>
      </c>
      <c r="B6" s="106">
        <f>IF(ISBLANK(B$4),"*",IF(ISBLANK(B$3),"*",IF(B$9&lt;&gt;0,(B$3-B$4)/(6*B$9),"No Stdev")))</f>
        <v>2.3856510830558064</v>
      </c>
      <c r="C6" s="106">
        <f>IF(ISBLANK(C$4),"*",IF(ISBLANK(C$3),"*",IF(C$9&lt;&gt;0,(C$3-C$4)/(6*C$9),"No Stdev")))</f>
        <v>1.3074066845362016</v>
      </c>
      <c r="D6" s="106">
        <f>IF(ISBLANK(D$4),"*",IF(ISBLANK(D$3),"*",IF(D$9&lt;&gt;0,(D$3-D$4)/(6*D$9),"No Stdev")))</f>
        <v>1.2821121495969297</v>
      </c>
      <c r="E6" s="106">
        <f>IF(ISBLANK(E$4),"*",IF(ISBLANK(E$3),"*",IF(E$9&lt;&gt;0,(E$3-E$4)/(6*E$9),"No Stdev")))</f>
        <v>0.97526419660205821</v>
      </c>
      <c r="F6" s="106"/>
      <c r="G6" s="106"/>
      <c r="H6" s="104"/>
      <c r="I6" s="147"/>
      <c r="J6" s="190"/>
      <c r="K6" s="190"/>
      <c r="L6" s="190"/>
      <c r="M6" s="190"/>
      <c r="N6" s="190"/>
      <c r="O6" s="120"/>
    </row>
    <row r="7" spans="1:15">
      <c r="A7" s="18" t="s">
        <v>172</v>
      </c>
      <c r="B7" s="107">
        <f>IF(B$9&lt;&gt;0,(B3-B10)/(3*B9),"No Stdev")</f>
        <v>0.46186204967962952</v>
      </c>
      <c r="C7" s="107">
        <f>IF(C$9&lt;&gt;0,(C3-C10)/(3*C9),"No Stdev")</f>
        <v>0.68856752052239567</v>
      </c>
      <c r="D7" s="107">
        <f>IF(D$9&lt;&gt;0,(D3-D10)/(3*D9),"No Stdev")</f>
        <v>1.7397407128597324</v>
      </c>
      <c r="E7" s="107">
        <f>IF(E$9&lt;&gt;0,(E3-E10)/(3*E9),"No Stdev")</f>
        <v>0.94860697522827753</v>
      </c>
      <c r="F7" s="107"/>
      <c r="G7" s="107"/>
      <c r="H7" s="104"/>
      <c r="I7" s="147"/>
      <c r="J7" s="190"/>
      <c r="K7" s="190"/>
      <c r="L7" s="190"/>
      <c r="M7" s="190"/>
      <c r="N7" s="190"/>
      <c r="O7" s="120"/>
    </row>
    <row r="8" spans="1:15">
      <c r="A8" s="18" t="s">
        <v>173</v>
      </c>
      <c r="B8" s="107">
        <f>IF(B$9&lt;&gt;0,(B10-B4)/(3*B9),"No Stdev")</f>
        <v>4.3094401164319827</v>
      </c>
      <c r="C8" s="107">
        <f>IF(C$9&lt;&gt;0,(C10-C4)/(3*C9),"No Stdev")</f>
        <v>1.9262458485500076</v>
      </c>
      <c r="D8" s="107">
        <f>IF(D$9&lt;&gt;0,(D10-D4)/(3*D9),"No Stdev")</f>
        <v>0.82448358633412677</v>
      </c>
      <c r="E8" s="107">
        <f>IF(E$9&lt;&gt;0,(E10-E4)/(3*E9),"No Stdev")</f>
        <v>1.0019214179758387</v>
      </c>
      <c r="F8" s="107"/>
      <c r="G8" s="107"/>
      <c r="H8" s="104"/>
      <c r="I8" s="147"/>
      <c r="J8" s="190"/>
      <c r="K8" s="190"/>
      <c r="L8" s="190"/>
      <c r="M8" s="190"/>
      <c r="N8" s="190"/>
      <c r="O8" s="120"/>
    </row>
    <row r="9" spans="1:15">
      <c r="A9" s="18" t="s">
        <v>174</v>
      </c>
      <c r="B9" s="107">
        <f>STDEV(B17:B46)</f>
        <v>3.4931065118957279E-2</v>
      </c>
      <c r="C9" s="107">
        <f>STDEV(C17:C46)</f>
        <v>6.3739412012334615E-2</v>
      </c>
      <c r="D9" s="107">
        <f>STDEV(D17:D46)</f>
        <v>6.4996914161941033E-2</v>
      </c>
      <c r="E9" s="107">
        <f>STDEV(E17:E46)</f>
        <v>8.5446931840292145E-2</v>
      </c>
      <c r="F9" s="107"/>
      <c r="G9" s="107"/>
      <c r="H9" s="104"/>
      <c r="I9" s="147"/>
      <c r="J9" s="190"/>
      <c r="K9" s="190"/>
      <c r="L9" s="190"/>
      <c r="M9" s="190"/>
      <c r="N9" s="190"/>
      <c r="O9" s="120"/>
    </row>
    <row r="10" spans="1:15">
      <c r="A10" s="18" t="s">
        <v>175</v>
      </c>
      <c r="B10" s="108">
        <f>AVERAGE(B17:B46)</f>
        <v>15.201599999999997</v>
      </c>
      <c r="C10" s="108">
        <f>AVERAGE(C17:C46)</f>
        <v>15.118333333333334</v>
      </c>
      <c r="D10" s="108">
        <f>AVERAGE(D17:D46)</f>
        <v>14.910766666666666</v>
      </c>
      <c r="E10" s="108">
        <f>AVERAGE(E17:E46)</f>
        <v>15.006833333333331</v>
      </c>
      <c r="F10" s="108"/>
      <c r="G10" s="108"/>
      <c r="H10" s="104"/>
      <c r="I10" s="147"/>
      <c r="J10" s="190"/>
      <c r="K10" s="190"/>
      <c r="L10" s="190"/>
      <c r="M10" s="190"/>
      <c r="N10" s="190"/>
      <c r="O10" s="120"/>
    </row>
    <row r="11" spans="1:15">
      <c r="A11" s="18" t="s">
        <v>176</v>
      </c>
      <c r="B11" s="107">
        <f>MEDIAN(B17:B46)</f>
        <v>15.198</v>
      </c>
      <c r="C11" s="107">
        <f>MEDIAN(C17:C46)</f>
        <v>15.118</v>
      </c>
      <c r="D11" s="107">
        <f>MEDIAN(D17:D46)</f>
        <v>14.894</v>
      </c>
      <c r="E11" s="107">
        <f>MEDIAN(E17:E46)</f>
        <v>15.0265</v>
      </c>
      <c r="F11" s="107"/>
      <c r="G11" s="107"/>
      <c r="H11" s="104"/>
      <c r="I11" s="147"/>
      <c r="J11" s="190"/>
      <c r="K11" s="190"/>
      <c r="L11" s="190"/>
      <c r="M11" s="190"/>
      <c r="N11" s="190"/>
      <c r="O11" s="120"/>
    </row>
    <row r="12" spans="1:15">
      <c r="A12" s="18" t="s">
        <v>177</v>
      </c>
      <c r="B12" s="107">
        <f>MIN(B17:B46)</f>
        <v>15.122999999999999</v>
      </c>
      <c r="C12" s="107">
        <f>MIN(C17:C46)</f>
        <v>15.005000000000001</v>
      </c>
      <c r="D12" s="107">
        <f>MIN(D17:D46)</f>
        <v>14.81</v>
      </c>
      <c r="E12" s="107">
        <f>MIN(E17:E46)</f>
        <v>14.818</v>
      </c>
      <c r="F12" s="107"/>
      <c r="G12" s="107"/>
      <c r="H12" s="104"/>
      <c r="I12" s="147"/>
      <c r="J12" s="190"/>
      <c r="K12" s="190"/>
      <c r="L12" s="190"/>
      <c r="M12" s="190"/>
      <c r="N12" s="190"/>
      <c r="O12" s="120"/>
    </row>
    <row r="13" spans="1:15">
      <c r="A13" s="18" t="s">
        <v>178</v>
      </c>
      <c r="B13" s="107">
        <f>MAX(B17:B46)</f>
        <v>15.259</v>
      </c>
      <c r="C13" s="107">
        <f>MAX(C17:C46)</f>
        <v>15.321</v>
      </c>
      <c r="D13" s="107">
        <f>MAX(D17:D46)</f>
        <v>15.047000000000001</v>
      </c>
      <c r="E13" s="107">
        <f>MAX(E17:E46)</f>
        <v>15.164999999999999</v>
      </c>
      <c r="F13" s="107"/>
      <c r="G13" s="107"/>
      <c r="H13" s="104"/>
      <c r="I13" s="147"/>
      <c r="J13" s="190"/>
      <c r="K13" s="190"/>
      <c r="L13" s="190"/>
      <c r="M13" s="190"/>
      <c r="N13" s="190"/>
      <c r="O13" s="120"/>
    </row>
    <row r="14" spans="1:15">
      <c r="A14" s="18" t="s">
        <v>179</v>
      </c>
      <c r="B14" s="109">
        <f>B13-B12</f>
        <v>0.13600000000000101</v>
      </c>
      <c r="C14" s="109">
        <f>C13-C12</f>
        <v>0.31599999999999895</v>
      </c>
      <c r="D14" s="109">
        <f>D13-D12</f>
        <v>0.2370000000000001</v>
      </c>
      <c r="E14" s="109">
        <f>E13-E12</f>
        <v>0.34699999999999953</v>
      </c>
      <c r="F14" s="109"/>
      <c r="G14" s="109"/>
      <c r="H14" s="104"/>
      <c r="I14" s="147"/>
      <c r="J14" s="190"/>
      <c r="K14" s="190"/>
      <c r="L14" s="190"/>
      <c r="M14" s="190"/>
      <c r="N14" s="190"/>
      <c r="O14" s="120"/>
    </row>
    <row r="15" spans="1:15">
      <c r="A15" s="110"/>
      <c r="E15" s="13"/>
      <c r="I15" s="147"/>
      <c r="J15" s="190"/>
      <c r="K15" s="190"/>
      <c r="L15" s="190"/>
      <c r="M15" s="190"/>
      <c r="N15" s="190"/>
      <c r="O15" s="120"/>
    </row>
    <row r="16" spans="1:15" ht="13.5" customHeight="1">
      <c r="A16" s="19"/>
      <c r="B16" s="187" t="s">
        <v>180</v>
      </c>
      <c r="C16" s="113"/>
      <c r="D16" s="113"/>
      <c r="E16" s="113"/>
      <c r="F16" s="113"/>
      <c r="G16" s="114"/>
      <c r="I16" s="147"/>
      <c r="J16" s="190"/>
      <c r="K16" s="190"/>
      <c r="L16" s="190"/>
      <c r="M16" s="190"/>
      <c r="N16" s="190"/>
      <c r="O16" s="120"/>
    </row>
    <row r="17" spans="1:21" ht="13.5" customHeight="1">
      <c r="A17" s="20">
        <v>1</v>
      </c>
      <c r="B17" s="21">
        <v>15.189</v>
      </c>
      <c r="C17" s="21">
        <v>15.005000000000001</v>
      </c>
      <c r="D17" s="21">
        <v>14.967000000000001</v>
      </c>
      <c r="E17" s="21">
        <v>15.085000000000001</v>
      </c>
      <c r="F17" s="21"/>
      <c r="G17" s="21"/>
      <c r="I17" s="147"/>
      <c r="J17" s="190"/>
      <c r="K17" s="190"/>
      <c r="L17" s="190"/>
      <c r="M17" s="190"/>
      <c r="N17" s="190"/>
      <c r="O17" s="120"/>
    </row>
    <row r="18" spans="1:21" ht="13.5" customHeight="1">
      <c r="A18" s="20">
        <v>2</v>
      </c>
      <c r="B18" s="21">
        <v>15.189</v>
      </c>
      <c r="C18" s="21">
        <v>15.086</v>
      </c>
      <c r="D18" s="21">
        <v>15.005000000000001</v>
      </c>
      <c r="E18" s="21">
        <v>15.087</v>
      </c>
      <c r="F18" s="21"/>
      <c r="G18" s="21"/>
      <c r="I18" s="147"/>
      <c r="J18" s="190"/>
      <c r="K18" s="190"/>
      <c r="L18" s="190"/>
      <c r="M18" s="190"/>
      <c r="N18" s="190"/>
      <c r="O18" s="120"/>
    </row>
    <row r="19" spans="1:21" ht="13.5" customHeight="1">
      <c r="A19" s="20">
        <v>3</v>
      </c>
      <c r="B19" s="21">
        <v>15.237</v>
      </c>
      <c r="C19" s="21">
        <v>15.137</v>
      </c>
      <c r="D19" s="21">
        <v>15.012</v>
      </c>
      <c r="E19" s="21">
        <v>15.038</v>
      </c>
      <c r="F19" s="21"/>
      <c r="G19" s="21"/>
      <c r="I19" s="147"/>
      <c r="J19" s="190"/>
      <c r="K19" s="190"/>
      <c r="L19" s="190"/>
      <c r="M19" s="190"/>
      <c r="N19" s="190"/>
      <c r="O19" s="120"/>
    </row>
    <row r="20" spans="1:21" ht="13.5" customHeight="1">
      <c r="A20" s="20">
        <v>4</v>
      </c>
      <c r="B20" s="21">
        <v>15.189</v>
      </c>
      <c r="C20" s="21">
        <v>15.086</v>
      </c>
      <c r="D20" s="21">
        <v>15.007</v>
      </c>
      <c r="E20" s="21">
        <v>15.004</v>
      </c>
      <c r="F20" s="21"/>
      <c r="G20" s="21"/>
      <c r="I20" s="147"/>
      <c r="J20" s="190"/>
      <c r="K20" s="190"/>
      <c r="L20" s="190"/>
      <c r="M20" s="190"/>
      <c r="N20" s="190"/>
      <c r="O20" s="120"/>
    </row>
    <row r="21" spans="1:21" ht="13.5" customHeight="1">
      <c r="A21" s="20">
        <v>5</v>
      </c>
      <c r="B21" s="21">
        <v>15.226000000000001</v>
      </c>
      <c r="C21" s="21">
        <v>15.154</v>
      </c>
      <c r="D21" s="21">
        <v>15.018000000000001</v>
      </c>
      <c r="E21" s="21">
        <v>15.154999999999999</v>
      </c>
      <c r="F21" s="21"/>
      <c r="G21" s="21"/>
      <c r="I21" s="147"/>
      <c r="J21" s="190"/>
      <c r="K21" s="190"/>
      <c r="L21" s="190"/>
      <c r="M21" s="190"/>
      <c r="N21" s="190"/>
      <c r="O21" s="120"/>
    </row>
    <row r="22" spans="1:21" ht="13.5" customHeight="1">
      <c r="A22" s="20">
        <v>6</v>
      </c>
      <c r="B22" s="21">
        <v>15.201000000000001</v>
      </c>
      <c r="C22" s="21">
        <v>15.154999999999999</v>
      </c>
      <c r="D22" s="21">
        <v>14.983000000000001</v>
      </c>
      <c r="E22" s="21">
        <v>14.968999999999999</v>
      </c>
      <c r="F22" s="21"/>
      <c r="G22" s="21"/>
      <c r="I22" s="147"/>
      <c r="J22" s="190"/>
      <c r="K22" s="190"/>
      <c r="L22" s="190"/>
      <c r="M22" s="190"/>
      <c r="N22" s="190"/>
      <c r="O22" s="120"/>
    </row>
    <row r="23" spans="1:21" ht="13.5" customHeight="1">
      <c r="A23" s="20">
        <v>7</v>
      </c>
      <c r="B23" s="21">
        <v>15.228999999999999</v>
      </c>
      <c r="C23" s="21">
        <v>15.212</v>
      </c>
      <c r="D23" s="21">
        <v>15.047000000000001</v>
      </c>
      <c r="E23" s="21">
        <v>14.941000000000001</v>
      </c>
      <c r="F23" s="21"/>
      <c r="G23" s="21"/>
      <c r="I23" s="147"/>
      <c r="J23" s="190"/>
      <c r="K23" s="190"/>
      <c r="L23" s="190"/>
      <c r="M23" s="190"/>
      <c r="N23" s="190"/>
      <c r="O23" s="120"/>
    </row>
    <row r="24" spans="1:21" ht="13.5" customHeight="1">
      <c r="A24" s="20">
        <v>8</v>
      </c>
      <c r="B24" s="21">
        <v>15.148</v>
      </c>
      <c r="C24" s="21">
        <v>15.137</v>
      </c>
      <c r="D24" s="21">
        <v>14.887</v>
      </c>
      <c r="E24" s="21">
        <v>14.874000000000001</v>
      </c>
      <c r="F24" s="21"/>
      <c r="G24" s="21"/>
      <c r="I24" s="147"/>
      <c r="J24" s="190"/>
      <c r="K24" s="190"/>
      <c r="L24" s="190"/>
      <c r="M24" s="190"/>
      <c r="N24" s="190"/>
      <c r="O24" s="120"/>
      <c r="P24" s="22"/>
      <c r="Q24" s="22"/>
    </row>
    <row r="25" spans="1:21" ht="13.5" customHeight="1">
      <c r="A25" s="20">
        <v>9</v>
      </c>
      <c r="B25" s="21">
        <v>15.157999999999999</v>
      </c>
      <c r="C25" s="21">
        <v>15.069000000000001</v>
      </c>
      <c r="D25" s="21">
        <v>14.872999999999999</v>
      </c>
      <c r="E25" s="21">
        <v>15.164999999999999</v>
      </c>
      <c r="F25" s="21"/>
      <c r="G25" s="21"/>
      <c r="I25" s="147"/>
      <c r="J25" s="190"/>
      <c r="K25" s="190"/>
      <c r="L25" s="190"/>
      <c r="M25" s="190"/>
      <c r="N25" s="190"/>
      <c r="O25" s="120"/>
    </row>
    <row r="26" spans="1:21" ht="13.5" customHeight="1">
      <c r="A26" s="20">
        <v>10</v>
      </c>
      <c r="B26" s="21">
        <v>15.122999999999999</v>
      </c>
      <c r="C26" s="21">
        <v>15.045999999999999</v>
      </c>
      <c r="D26" s="21">
        <v>14.928000000000001</v>
      </c>
      <c r="E26" s="21">
        <v>15.048</v>
      </c>
      <c r="F26" s="21"/>
      <c r="G26" s="21"/>
      <c r="I26" s="147"/>
      <c r="J26" s="190"/>
      <c r="K26" s="190"/>
      <c r="L26" s="190"/>
      <c r="M26" s="190"/>
      <c r="N26" s="190"/>
      <c r="O26" s="120"/>
    </row>
    <row r="27" spans="1:21" ht="13.5" customHeight="1">
      <c r="A27" s="20">
        <v>11</v>
      </c>
      <c r="B27" s="21">
        <v>15.18</v>
      </c>
      <c r="C27" s="21">
        <v>15.086</v>
      </c>
      <c r="D27" s="21">
        <v>14.871</v>
      </c>
      <c r="E27" s="21">
        <v>15.086</v>
      </c>
      <c r="F27" s="21"/>
      <c r="G27" s="21"/>
      <c r="I27" s="147"/>
      <c r="J27" s="190"/>
      <c r="K27" s="190"/>
      <c r="L27" s="190"/>
      <c r="M27" s="190"/>
      <c r="N27" s="190"/>
      <c r="O27" s="120"/>
    </row>
    <row r="28" spans="1:21" ht="13.5" customHeight="1">
      <c r="A28" s="20">
        <v>12</v>
      </c>
      <c r="B28" s="21">
        <v>15.196999999999999</v>
      </c>
      <c r="C28" s="21">
        <v>15.177</v>
      </c>
      <c r="D28" s="21">
        <v>14.916</v>
      </c>
      <c r="E28" s="21">
        <v>15.028</v>
      </c>
      <c r="F28" s="21"/>
      <c r="G28" s="21"/>
      <c r="I28" s="148"/>
      <c r="J28" s="129"/>
      <c r="K28" s="129"/>
      <c r="L28" s="129"/>
      <c r="M28" s="129"/>
      <c r="N28" s="129"/>
      <c r="O28" s="130"/>
    </row>
    <row r="29" spans="1:21" ht="19.95" customHeight="1">
      <c r="A29" s="20">
        <v>13</v>
      </c>
      <c r="B29" s="21">
        <v>15.206</v>
      </c>
      <c r="C29" s="21">
        <v>15.118</v>
      </c>
      <c r="D29" s="21">
        <v>14.987</v>
      </c>
      <c r="E29" s="21">
        <v>15.045</v>
      </c>
      <c r="F29" s="21"/>
      <c r="G29" s="21"/>
      <c r="I29" s="192" t="s">
        <v>181</v>
      </c>
      <c r="J29" s="113"/>
      <c r="K29" s="113"/>
      <c r="L29" s="113"/>
      <c r="M29" s="113"/>
      <c r="N29" s="113"/>
      <c r="O29" s="114"/>
      <c r="P29" s="12"/>
      <c r="Q29" s="12"/>
      <c r="R29" s="12"/>
      <c r="S29" s="12"/>
      <c r="T29" s="12"/>
      <c r="U29" s="12"/>
    </row>
    <row r="30" spans="1:21" ht="13.5" customHeight="1">
      <c r="A30" s="20">
        <v>14</v>
      </c>
      <c r="B30" s="21">
        <v>15.244</v>
      </c>
      <c r="C30" s="21">
        <v>15.097</v>
      </c>
      <c r="D30" s="21">
        <v>14.926</v>
      </c>
      <c r="E30" s="21">
        <v>14.967000000000001</v>
      </c>
      <c r="F30" s="21"/>
      <c r="G30" s="21"/>
      <c r="I30" s="191" t="s">
        <v>182</v>
      </c>
      <c r="J30" s="155"/>
      <c r="K30" s="155"/>
      <c r="L30" s="155"/>
      <c r="M30" s="155"/>
      <c r="N30" s="155"/>
      <c r="O30" s="133"/>
    </row>
    <row r="31" spans="1:21" ht="13.5" customHeight="1">
      <c r="A31" s="20">
        <v>15</v>
      </c>
      <c r="B31" s="21">
        <v>15.231999999999999</v>
      </c>
      <c r="C31" s="21">
        <v>15.125</v>
      </c>
      <c r="D31" s="21">
        <v>14.846</v>
      </c>
      <c r="E31" s="21">
        <v>14.914</v>
      </c>
      <c r="F31" s="21"/>
      <c r="G31" s="21"/>
      <c r="I31" s="147"/>
      <c r="J31" s="190"/>
      <c r="K31" s="190"/>
      <c r="L31" s="190"/>
      <c r="M31" s="190"/>
      <c r="N31" s="190"/>
      <c r="O31" s="120"/>
    </row>
    <row r="32" spans="1:21" ht="13.5" customHeight="1">
      <c r="A32" s="20">
        <v>16</v>
      </c>
      <c r="B32" s="21">
        <v>15.238</v>
      </c>
      <c r="C32" s="21">
        <v>15.041</v>
      </c>
      <c r="D32" s="21">
        <v>14.83</v>
      </c>
      <c r="E32" s="21">
        <v>15.042</v>
      </c>
      <c r="F32" s="21"/>
      <c r="G32" s="21"/>
      <c r="I32" s="147"/>
      <c r="J32" s="190"/>
      <c r="K32" s="190"/>
      <c r="L32" s="190"/>
      <c r="M32" s="190"/>
      <c r="N32" s="190"/>
      <c r="O32" s="120"/>
    </row>
    <row r="33" spans="1:15" ht="13.5" customHeight="1">
      <c r="A33" s="20">
        <v>17</v>
      </c>
      <c r="B33" s="21">
        <v>15.196</v>
      </c>
      <c r="C33" s="21">
        <v>15.17</v>
      </c>
      <c r="D33" s="21">
        <v>14.856</v>
      </c>
      <c r="E33" s="21">
        <v>14.951000000000001</v>
      </c>
      <c r="F33" s="21"/>
      <c r="G33" s="21"/>
      <c r="I33" s="147"/>
      <c r="J33" s="190"/>
      <c r="K33" s="190"/>
      <c r="L33" s="190"/>
      <c r="M33" s="190"/>
      <c r="N33" s="190"/>
      <c r="O33" s="120"/>
    </row>
    <row r="34" spans="1:15" ht="13.5" customHeight="1">
      <c r="A34" s="20">
        <v>18</v>
      </c>
      <c r="B34" s="21">
        <v>15.223000000000001</v>
      </c>
      <c r="C34" s="21">
        <v>15.137</v>
      </c>
      <c r="D34" s="21">
        <v>14.897</v>
      </c>
      <c r="E34" s="21">
        <v>14.952</v>
      </c>
      <c r="F34" s="21"/>
      <c r="G34" s="21"/>
      <c r="I34" s="148"/>
      <c r="J34" s="129"/>
      <c r="K34" s="129"/>
      <c r="L34" s="129"/>
      <c r="M34" s="129"/>
      <c r="N34" s="129"/>
      <c r="O34" s="130"/>
    </row>
    <row r="35" spans="1:15" ht="13.5" customHeight="1">
      <c r="A35" s="20">
        <v>19</v>
      </c>
      <c r="B35" s="21">
        <v>15.25</v>
      </c>
      <c r="C35" s="21">
        <v>15.166</v>
      </c>
      <c r="D35" s="21">
        <v>14.901999999999999</v>
      </c>
      <c r="E35" s="21">
        <v>14.888999999999999</v>
      </c>
      <c r="F35" s="21"/>
      <c r="G35" s="21"/>
      <c r="J35" s="12"/>
      <c r="K35" s="12"/>
    </row>
    <row r="36" spans="1:15" ht="13.5" customHeight="1">
      <c r="A36" s="20">
        <v>20</v>
      </c>
      <c r="B36" s="21">
        <v>15.198</v>
      </c>
      <c r="C36" s="21">
        <v>15.122999999999999</v>
      </c>
      <c r="D36" s="21">
        <v>14.875999999999999</v>
      </c>
      <c r="E36" s="21">
        <v>14.878</v>
      </c>
      <c r="F36" s="21"/>
      <c r="G36" s="21"/>
      <c r="J36" s="12"/>
      <c r="K36" s="12"/>
    </row>
    <row r="37" spans="1:15" ht="13.5" customHeight="1">
      <c r="A37" s="20">
        <v>21</v>
      </c>
      <c r="B37" s="21">
        <v>15.177</v>
      </c>
      <c r="C37" s="21">
        <v>15.1</v>
      </c>
      <c r="D37" s="21">
        <v>14.81</v>
      </c>
      <c r="E37" s="21">
        <v>15.1</v>
      </c>
      <c r="F37" s="21"/>
      <c r="G37" s="21"/>
      <c r="J37" s="12"/>
      <c r="K37" s="12"/>
    </row>
    <row r="38" spans="1:15" ht="13.5" customHeight="1">
      <c r="A38" s="20">
        <v>22</v>
      </c>
      <c r="B38" s="21">
        <v>15.259</v>
      </c>
      <c r="C38" s="21">
        <v>15.05</v>
      </c>
      <c r="D38" s="21">
        <v>14.891</v>
      </c>
      <c r="E38" s="21">
        <v>15.05</v>
      </c>
      <c r="F38" s="21"/>
      <c r="G38" s="21"/>
      <c r="J38" s="12"/>
      <c r="K38" s="12"/>
    </row>
    <row r="39" spans="1:15" ht="13.5" customHeight="1">
      <c r="A39" s="20">
        <v>23</v>
      </c>
      <c r="B39" s="21">
        <v>15.175000000000001</v>
      </c>
      <c r="C39" s="21">
        <v>15.202</v>
      </c>
      <c r="D39" s="21">
        <v>14.871</v>
      </c>
      <c r="E39" s="21">
        <v>15.025</v>
      </c>
      <c r="F39" s="21"/>
      <c r="G39" s="21"/>
      <c r="J39" s="12"/>
      <c r="K39" s="12"/>
    </row>
    <row r="40" spans="1:15" ht="13.5" customHeight="1">
      <c r="A40" s="20">
        <v>24</v>
      </c>
      <c r="B40" s="21">
        <v>15.212</v>
      </c>
      <c r="C40" s="21">
        <v>15.039</v>
      </c>
      <c r="D40" s="21">
        <v>14.86</v>
      </c>
      <c r="E40" s="21">
        <v>15.045999999999999</v>
      </c>
      <c r="F40" s="21"/>
      <c r="G40" s="21"/>
      <c r="J40" s="12"/>
      <c r="K40" s="12"/>
    </row>
    <row r="41" spans="1:15" ht="13.5" customHeight="1">
      <c r="A41" s="20">
        <v>25</v>
      </c>
      <c r="B41" s="21">
        <v>15.151999999999999</v>
      </c>
      <c r="C41" s="21">
        <v>15.321</v>
      </c>
      <c r="D41" s="21">
        <v>14.832000000000001</v>
      </c>
      <c r="E41" s="21">
        <v>15.023999999999999</v>
      </c>
      <c r="F41" s="21"/>
      <c r="G41" s="21"/>
      <c r="J41" s="12"/>
      <c r="K41" s="12"/>
    </row>
    <row r="42" spans="1:15" ht="13.5" customHeight="1">
      <c r="A42" s="20">
        <v>26</v>
      </c>
      <c r="B42" s="21">
        <v>15.256</v>
      </c>
      <c r="C42" s="21">
        <v>15.036</v>
      </c>
      <c r="D42" s="21">
        <v>14.849</v>
      </c>
      <c r="E42" s="21">
        <v>15.034000000000001</v>
      </c>
      <c r="F42" s="21"/>
      <c r="G42" s="21"/>
      <c r="J42" s="12"/>
      <c r="K42" s="12"/>
    </row>
    <row r="43" spans="1:15" ht="13.5" customHeight="1">
      <c r="A43" s="20">
        <v>27</v>
      </c>
      <c r="B43" s="21">
        <v>15.198</v>
      </c>
      <c r="C43" s="21">
        <v>15.138999999999999</v>
      </c>
      <c r="D43" s="21">
        <v>14.846</v>
      </c>
      <c r="E43" s="21">
        <v>15.102</v>
      </c>
      <c r="F43" s="21"/>
      <c r="G43" s="21"/>
      <c r="J43" s="12"/>
      <c r="K43" s="12"/>
    </row>
    <row r="44" spans="1:15" ht="13.5" customHeight="1">
      <c r="A44" s="20">
        <v>28</v>
      </c>
      <c r="B44" s="21">
        <v>15.146000000000001</v>
      </c>
      <c r="C44" s="21">
        <v>15.102</v>
      </c>
      <c r="D44" s="21">
        <v>14.942</v>
      </c>
      <c r="E44" s="21">
        <v>14.818</v>
      </c>
      <c r="F44" s="21"/>
      <c r="G44" s="21"/>
      <c r="J44" s="12"/>
      <c r="K44" s="12"/>
    </row>
    <row r="45" spans="1:15" ht="13.5" customHeight="1">
      <c r="A45" s="20">
        <v>29</v>
      </c>
      <c r="B45" s="21">
        <v>15.193</v>
      </c>
      <c r="C45" s="21">
        <v>15.118</v>
      </c>
      <c r="D45" s="21">
        <v>14.901</v>
      </c>
      <c r="E45" s="21">
        <v>14.9</v>
      </c>
      <c r="F45" s="21"/>
      <c r="G45" s="21"/>
      <c r="K45" s="12"/>
    </row>
    <row r="46" spans="1:15" ht="13.5" customHeight="1">
      <c r="A46" s="20">
        <v>30</v>
      </c>
      <c r="B46" s="21">
        <v>15.227</v>
      </c>
      <c r="C46" s="21">
        <v>15.116</v>
      </c>
      <c r="D46" s="21">
        <v>14.887</v>
      </c>
      <c r="E46" s="21">
        <v>14.988</v>
      </c>
      <c r="F46" s="21"/>
      <c r="G46" s="21"/>
      <c r="K46" s="12"/>
    </row>
  </sheetData>
  <mergeCells count="6">
    <mergeCell ref="B16:G16"/>
    <mergeCell ref="A1:G1"/>
    <mergeCell ref="I4:O28"/>
    <mergeCell ref="I30:O34"/>
    <mergeCell ref="I3:O3"/>
    <mergeCell ref="I29:O29"/>
  </mergeCells>
  <phoneticPr fontId="47" type="noConversion"/>
  <conditionalFormatting sqref="B14:G14">
    <cfRule type="cellIs" dxfId="39" priority="13" stopIfTrue="1" operator="notBetween">
      <formula>0</formula>
      <formula>$B$3-$B$4</formula>
    </cfRule>
    <cfRule type="cellIs" dxfId="38" priority="14" stopIfTrue="1" operator="between">
      <formula>0</formula>
      <formula>$B$3-$B$4</formula>
    </cfRule>
  </conditionalFormatting>
  <conditionalFormatting sqref="B6:B8">
    <cfRule type="cellIs" dxfId="37" priority="19" stopIfTrue="1" operator="greaterThanOrEqual">
      <formula>1.33</formula>
    </cfRule>
    <cfRule type="cellIs" dxfId="36" priority="20" stopIfTrue="1" operator="lessThan">
      <formula>1.33</formula>
    </cfRule>
  </conditionalFormatting>
  <conditionalFormatting sqref="E17:E46">
    <cfRule type="cellIs" dxfId="35" priority="9" stopIfTrue="1" operator="notBetween">
      <formula>E$3</formula>
      <formula>E$4</formula>
    </cfRule>
    <cfRule type="cellIs" dxfId="34" priority="10" stopIfTrue="1" operator="between">
      <formula>E$3</formula>
      <formula>E$4</formula>
    </cfRule>
  </conditionalFormatting>
  <conditionalFormatting sqref="F17:F46">
    <cfRule type="cellIs" dxfId="33" priority="11" stopIfTrue="1" operator="notBetween">
      <formula>F$3</formula>
      <formula>F$4</formula>
    </cfRule>
    <cfRule type="cellIs" dxfId="32" priority="12" stopIfTrue="1" operator="between">
      <formula>F$3</formula>
      <formula>F$4</formula>
    </cfRule>
  </conditionalFormatting>
  <conditionalFormatting sqref="G6:G8">
    <cfRule type="cellIs" dxfId="31" priority="3" stopIfTrue="1" operator="greaterThanOrEqual">
      <formula>1.33</formula>
    </cfRule>
    <cfRule type="cellIs" dxfId="30" priority="4" stopIfTrue="1" operator="lessThan">
      <formula>1.33</formula>
    </cfRule>
  </conditionalFormatting>
  <conditionalFormatting sqref="G10:G13">
    <cfRule type="cellIs" dxfId="29" priority="1" stopIfTrue="1" operator="notBetween">
      <formula>G$3</formula>
      <formula>G$4</formula>
    </cfRule>
    <cfRule type="cellIs" dxfId="28" priority="2" stopIfTrue="1" operator="between">
      <formula>G$3</formula>
      <formula>G$4</formula>
    </cfRule>
  </conditionalFormatting>
  <conditionalFormatting sqref="G17:G46">
    <cfRule type="cellIs" dxfId="27" priority="5" stopIfTrue="1" operator="notBetween">
      <formula>G$3</formula>
      <formula>G$4</formula>
    </cfRule>
    <cfRule type="cellIs" dxfId="26" priority="6" stopIfTrue="1" operator="between">
      <formula>G$3</formula>
      <formula>G$4</formula>
    </cfRule>
  </conditionalFormatting>
  <conditionalFormatting sqref="C6:F8">
    <cfRule type="cellIs" dxfId="25" priority="17" stopIfTrue="1" operator="greaterThanOrEqual">
      <formula>1.33</formula>
    </cfRule>
    <cfRule type="cellIs" dxfId="24" priority="18" stopIfTrue="1" operator="lessThan">
      <formula>1.33</formula>
    </cfRule>
  </conditionalFormatting>
  <conditionalFormatting sqref="B10:F13">
    <cfRule type="cellIs" dxfId="23" priority="15" stopIfTrue="1" operator="notBetween">
      <formula>B$3</formula>
      <formula>B$4</formula>
    </cfRule>
    <cfRule type="cellIs" dxfId="22" priority="16" stopIfTrue="1" operator="between">
      <formula>B$3</formula>
      <formula>B$4</formula>
    </cfRule>
  </conditionalFormatting>
  <conditionalFormatting sqref="B17:D46">
    <cfRule type="cellIs" dxfId="21" priority="7" stopIfTrue="1" operator="notBetween">
      <formula>B$3</formula>
      <formula>B$4</formula>
    </cfRule>
    <cfRule type="cellIs" dxfId="20" priority="8" stopIfTrue="1" operator="between">
      <formula>B$3</formula>
      <formula>B$4</formula>
    </cfRule>
  </conditionalFormatting>
  <pageMargins left="0.70866141732283505" right="0.70866141732283505" top="0.74803149606299202" bottom="0.74803149606299202" header="0.31496062992126" footer="0.31496062992126"/>
  <pageSetup paperSize="9" orientation="landscape"/>
  <headerFooter>
    <oddHeader>&amp;L&amp;G</oddHeader>
  </headerFooter>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U46"/>
  <sheetViews>
    <sheetView showGridLines="0" zoomScaleNormal="100" workbookViewId="0">
      <selection activeCell="I29" sqref="I29:O29"/>
    </sheetView>
  </sheetViews>
  <sheetFormatPr defaultColWidth="9" defaultRowHeight="13.2"/>
  <cols>
    <col min="1" max="1" width="8.6640625" style="12" customWidth="1"/>
    <col min="2" max="4" width="7.44140625" style="13" customWidth="1"/>
    <col min="5" max="5" width="7.44140625" style="102" customWidth="1"/>
    <col min="6" max="7" width="6.109375" style="13" customWidth="1"/>
    <col min="8" max="10" width="7.44140625" style="13" customWidth="1"/>
    <col min="11" max="256" width="8.88671875" style="13" customWidth="1"/>
    <col min="257" max="257" width="8.6640625" style="13" customWidth="1"/>
    <col min="258" max="263" width="6.109375" style="13" customWidth="1"/>
    <col min="264" max="264" width="2" style="13" customWidth="1"/>
    <col min="265" max="266" width="7.44140625" style="13" customWidth="1"/>
    <col min="267" max="512" width="8.88671875" style="13" customWidth="1"/>
    <col min="513" max="513" width="8.6640625" style="13" customWidth="1"/>
    <col min="514" max="519" width="6.109375" style="13" customWidth="1"/>
    <col min="520" max="520" width="2" style="13" customWidth="1"/>
    <col min="521" max="522" width="7.44140625" style="13" customWidth="1"/>
    <col min="523" max="768" width="8.88671875" style="13" customWidth="1"/>
    <col min="769" max="769" width="8.6640625" style="13" customWidth="1"/>
    <col min="770" max="775" width="6.109375" style="13" customWidth="1"/>
    <col min="776" max="776" width="2" style="13" customWidth="1"/>
    <col min="777" max="778" width="7.44140625" style="13" customWidth="1"/>
    <col min="779" max="1024" width="8.88671875" style="13" customWidth="1"/>
    <col min="1025" max="1025" width="8.6640625" style="13" customWidth="1"/>
    <col min="1026" max="1031" width="6.109375" style="13" customWidth="1"/>
    <col min="1032" max="1032" width="2" style="13" customWidth="1"/>
    <col min="1033" max="1034" width="7.44140625" style="13" customWidth="1"/>
    <col min="1035" max="1280" width="8.88671875" style="13" customWidth="1"/>
    <col min="1281" max="1281" width="8.6640625" style="13" customWidth="1"/>
    <col min="1282" max="1287" width="6.109375" style="13" customWidth="1"/>
    <col min="1288" max="1288" width="2" style="13" customWidth="1"/>
    <col min="1289" max="1290" width="7.44140625" style="13" customWidth="1"/>
    <col min="1291" max="1536" width="8.88671875" style="13" customWidth="1"/>
    <col min="1537" max="1537" width="8.6640625" style="13" customWidth="1"/>
    <col min="1538" max="1543" width="6.109375" style="13" customWidth="1"/>
    <col min="1544" max="1544" width="2" style="13" customWidth="1"/>
    <col min="1545" max="1546" width="7.44140625" style="13" customWidth="1"/>
    <col min="1547" max="1792" width="8.88671875" style="13" customWidth="1"/>
    <col min="1793" max="1793" width="8.6640625" style="13" customWidth="1"/>
    <col min="1794" max="1799" width="6.109375" style="13" customWidth="1"/>
    <col min="1800" max="1800" width="2" style="13" customWidth="1"/>
    <col min="1801" max="1802" width="7.44140625" style="13" customWidth="1"/>
    <col min="1803" max="2048" width="8.88671875" style="13" customWidth="1"/>
    <col min="2049" max="2049" width="8.6640625" style="13" customWidth="1"/>
    <col min="2050" max="2055" width="6.109375" style="13" customWidth="1"/>
    <col min="2056" max="2056" width="2" style="13" customWidth="1"/>
    <col min="2057" max="2058" width="7.44140625" style="13" customWidth="1"/>
    <col min="2059" max="2304" width="8.88671875" style="13" customWidth="1"/>
    <col min="2305" max="2305" width="8.6640625" style="13" customWidth="1"/>
    <col min="2306" max="2311" width="6.109375" style="13" customWidth="1"/>
    <col min="2312" max="2312" width="2" style="13" customWidth="1"/>
    <col min="2313" max="2314" width="7.44140625" style="13" customWidth="1"/>
    <col min="2315" max="2560" width="8.88671875" style="13" customWidth="1"/>
    <col min="2561" max="2561" width="8.6640625" style="13" customWidth="1"/>
    <col min="2562" max="2567" width="6.109375" style="13" customWidth="1"/>
    <col min="2568" max="2568" width="2" style="13" customWidth="1"/>
    <col min="2569" max="2570" width="7.44140625" style="13" customWidth="1"/>
    <col min="2571" max="2816" width="8.88671875" style="13" customWidth="1"/>
    <col min="2817" max="2817" width="8.6640625" style="13" customWidth="1"/>
    <col min="2818" max="2823" width="6.109375" style="13" customWidth="1"/>
    <col min="2824" max="2824" width="2" style="13" customWidth="1"/>
    <col min="2825" max="2826" width="7.44140625" style="13" customWidth="1"/>
    <col min="2827" max="3072" width="8.88671875" style="13" customWidth="1"/>
    <col min="3073" max="3073" width="8.6640625" style="13" customWidth="1"/>
    <col min="3074" max="3079" width="6.109375" style="13" customWidth="1"/>
    <col min="3080" max="3080" width="2" style="13" customWidth="1"/>
    <col min="3081" max="3082" width="7.44140625" style="13" customWidth="1"/>
    <col min="3083" max="3328" width="8.88671875" style="13" customWidth="1"/>
    <col min="3329" max="3329" width="8.6640625" style="13" customWidth="1"/>
    <col min="3330" max="3335" width="6.109375" style="13" customWidth="1"/>
    <col min="3336" max="3336" width="2" style="13" customWidth="1"/>
    <col min="3337" max="3338" width="7.44140625" style="13" customWidth="1"/>
    <col min="3339" max="3584" width="8.88671875" style="13" customWidth="1"/>
    <col min="3585" max="3585" width="8.6640625" style="13" customWidth="1"/>
    <col min="3586" max="3591" width="6.109375" style="13" customWidth="1"/>
    <col min="3592" max="3592" width="2" style="13" customWidth="1"/>
    <col min="3593" max="3594" width="7.44140625" style="13" customWidth="1"/>
    <col min="3595" max="3840" width="8.88671875" style="13" customWidth="1"/>
    <col min="3841" max="3841" width="8.6640625" style="13" customWidth="1"/>
    <col min="3842" max="3847" width="6.109375" style="13" customWidth="1"/>
    <col min="3848" max="3848" width="2" style="13" customWidth="1"/>
    <col min="3849" max="3850" width="7.44140625" style="13" customWidth="1"/>
    <col min="3851" max="4096" width="8.88671875" style="13" customWidth="1"/>
    <col min="4097" max="4097" width="8.6640625" style="13" customWidth="1"/>
    <col min="4098" max="4103" width="6.109375" style="13" customWidth="1"/>
    <col min="4104" max="4104" width="2" style="13" customWidth="1"/>
    <col min="4105" max="4106" width="7.44140625" style="13" customWidth="1"/>
    <col min="4107" max="4352" width="8.88671875" style="13" customWidth="1"/>
    <col min="4353" max="4353" width="8.6640625" style="13" customWidth="1"/>
    <col min="4354" max="4359" width="6.109375" style="13" customWidth="1"/>
    <col min="4360" max="4360" width="2" style="13" customWidth="1"/>
    <col min="4361" max="4362" width="7.44140625" style="13" customWidth="1"/>
    <col min="4363" max="4608" width="8.88671875" style="13" customWidth="1"/>
    <col min="4609" max="4609" width="8.6640625" style="13" customWidth="1"/>
    <col min="4610" max="4615" width="6.109375" style="13" customWidth="1"/>
    <col min="4616" max="4616" width="2" style="13" customWidth="1"/>
    <col min="4617" max="4618" width="7.44140625" style="13" customWidth="1"/>
    <col min="4619" max="4864" width="8.88671875" style="13" customWidth="1"/>
    <col min="4865" max="4865" width="8.6640625" style="13" customWidth="1"/>
    <col min="4866" max="4871" width="6.109375" style="13" customWidth="1"/>
    <col min="4872" max="4872" width="2" style="13" customWidth="1"/>
    <col min="4873" max="4874" width="7.44140625" style="13" customWidth="1"/>
    <col min="4875" max="5120" width="8.88671875" style="13" customWidth="1"/>
    <col min="5121" max="5121" width="8.6640625" style="13" customWidth="1"/>
    <col min="5122" max="5127" width="6.109375" style="13" customWidth="1"/>
    <col min="5128" max="5128" width="2" style="13" customWidth="1"/>
    <col min="5129" max="5130" width="7.44140625" style="13" customWidth="1"/>
    <col min="5131" max="5376" width="8.88671875" style="13" customWidth="1"/>
    <col min="5377" max="5377" width="8.6640625" style="13" customWidth="1"/>
    <col min="5378" max="5383" width="6.109375" style="13" customWidth="1"/>
    <col min="5384" max="5384" width="2" style="13" customWidth="1"/>
    <col min="5385" max="5386" width="7.44140625" style="13" customWidth="1"/>
    <col min="5387" max="5632" width="8.88671875" style="13" customWidth="1"/>
    <col min="5633" max="5633" width="8.6640625" style="13" customWidth="1"/>
    <col min="5634" max="5639" width="6.109375" style="13" customWidth="1"/>
    <col min="5640" max="5640" width="2" style="13" customWidth="1"/>
    <col min="5641" max="5642" width="7.44140625" style="13" customWidth="1"/>
    <col min="5643" max="5888" width="8.88671875" style="13" customWidth="1"/>
    <col min="5889" max="5889" width="8.6640625" style="13" customWidth="1"/>
    <col min="5890" max="5895" width="6.109375" style="13" customWidth="1"/>
    <col min="5896" max="5896" width="2" style="13" customWidth="1"/>
    <col min="5897" max="5898" width="7.44140625" style="13" customWidth="1"/>
    <col min="5899" max="6144" width="8.88671875" style="13" customWidth="1"/>
    <col min="6145" max="6145" width="8.6640625" style="13" customWidth="1"/>
    <col min="6146" max="6151" width="6.109375" style="13" customWidth="1"/>
    <col min="6152" max="6152" width="2" style="13" customWidth="1"/>
    <col min="6153" max="6154" width="7.44140625" style="13" customWidth="1"/>
    <col min="6155" max="6400" width="8.88671875" style="13" customWidth="1"/>
    <col min="6401" max="6401" width="8.6640625" style="13" customWidth="1"/>
    <col min="6402" max="6407" width="6.109375" style="13" customWidth="1"/>
    <col min="6408" max="6408" width="2" style="13" customWidth="1"/>
    <col min="6409" max="6410" width="7.44140625" style="13" customWidth="1"/>
    <col min="6411" max="6656" width="8.88671875" style="13" customWidth="1"/>
    <col min="6657" max="6657" width="8.6640625" style="13" customWidth="1"/>
    <col min="6658" max="6663" width="6.109375" style="13" customWidth="1"/>
    <col min="6664" max="6664" width="2" style="13" customWidth="1"/>
    <col min="6665" max="6666" width="7.44140625" style="13" customWidth="1"/>
    <col min="6667" max="6912" width="8.88671875" style="13" customWidth="1"/>
    <col min="6913" max="6913" width="8.6640625" style="13" customWidth="1"/>
    <col min="6914" max="6919" width="6.109375" style="13" customWidth="1"/>
    <col min="6920" max="6920" width="2" style="13" customWidth="1"/>
    <col min="6921" max="6922" width="7.44140625" style="13" customWidth="1"/>
    <col min="6923" max="7168" width="8.88671875" style="13" customWidth="1"/>
    <col min="7169" max="7169" width="8.6640625" style="13" customWidth="1"/>
    <col min="7170" max="7175" width="6.109375" style="13" customWidth="1"/>
    <col min="7176" max="7176" width="2" style="13" customWidth="1"/>
    <col min="7177" max="7178" width="7.44140625" style="13" customWidth="1"/>
    <col min="7179" max="7424" width="8.88671875" style="13" customWidth="1"/>
    <col min="7425" max="7425" width="8.6640625" style="13" customWidth="1"/>
    <col min="7426" max="7431" width="6.109375" style="13" customWidth="1"/>
    <col min="7432" max="7432" width="2" style="13" customWidth="1"/>
    <col min="7433" max="7434" width="7.44140625" style="13" customWidth="1"/>
    <col min="7435" max="7680" width="8.88671875" style="13" customWidth="1"/>
    <col min="7681" max="7681" width="8.6640625" style="13" customWidth="1"/>
    <col min="7682" max="7687" width="6.109375" style="13" customWidth="1"/>
    <col min="7688" max="7688" width="2" style="13" customWidth="1"/>
    <col min="7689" max="7690" width="7.44140625" style="13" customWidth="1"/>
    <col min="7691" max="7936" width="8.88671875" style="13" customWidth="1"/>
    <col min="7937" max="7937" width="8.6640625" style="13" customWidth="1"/>
    <col min="7938" max="7943" width="6.109375" style="13" customWidth="1"/>
    <col min="7944" max="7944" width="2" style="13" customWidth="1"/>
    <col min="7945" max="7946" width="7.44140625" style="13" customWidth="1"/>
    <col min="7947" max="8192" width="8.88671875" style="13" customWidth="1"/>
    <col min="8193" max="8193" width="8.6640625" style="13" customWidth="1"/>
    <col min="8194" max="8199" width="6.109375" style="13" customWidth="1"/>
    <col min="8200" max="8200" width="2" style="13" customWidth="1"/>
    <col min="8201" max="8202" width="7.44140625" style="13" customWidth="1"/>
    <col min="8203" max="8448" width="8.88671875" style="13" customWidth="1"/>
    <col min="8449" max="8449" width="8.6640625" style="13" customWidth="1"/>
    <col min="8450" max="8455" width="6.109375" style="13" customWidth="1"/>
    <col min="8456" max="8456" width="2" style="13" customWidth="1"/>
    <col min="8457" max="8458" width="7.44140625" style="13" customWidth="1"/>
    <col min="8459" max="8704" width="8.88671875" style="13" customWidth="1"/>
    <col min="8705" max="8705" width="8.6640625" style="13" customWidth="1"/>
    <col min="8706" max="8711" width="6.109375" style="13" customWidth="1"/>
    <col min="8712" max="8712" width="2" style="13" customWidth="1"/>
    <col min="8713" max="8714" width="7.44140625" style="13" customWidth="1"/>
    <col min="8715" max="8960" width="8.88671875" style="13" customWidth="1"/>
    <col min="8961" max="8961" width="8.6640625" style="13" customWidth="1"/>
    <col min="8962" max="8967" width="6.109375" style="13" customWidth="1"/>
    <col min="8968" max="8968" width="2" style="13" customWidth="1"/>
    <col min="8969" max="8970" width="7.44140625" style="13" customWidth="1"/>
    <col min="8971" max="9216" width="8.88671875" style="13" customWidth="1"/>
    <col min="9217" max="9217" width="8.6640625" style="13" customWidth="1"/>
    <col min="9218" max="9223" width="6.109375" style="13" customWidth="1"/>
    <col min="9224" max="9224" width="2" style="13" customWidth="1"/>
    <col min="9225" max="9226" width="7.44140625" style="13" customWidth="1"/>
    <col min="9227" max="9472" width="8.88671875" style="13" customWidth="1"/>
    <col min="9473" max="9473" width="8.6640625" style="13" customWidth="1"/>
    <col min="9474" max="9479" width="6.109375" style="13" customWidth="1"/>
    <col min="9480" max="9480" width="2" style="13" customWidth="1"/>
    <col min="9481" max="9482" width="7.44140625" style="13" customWidth="1"/>
    <col min="9483" max="9728" width="8.88671875" style="13" customWidth="1"/>
    <col min="9729" max="9729" width="8.6640625" style="13" customWidth="1"/>
    <col min="9730" max="9735" width="6.109375" style="13" customWidth="1"/>
    <col min="9736" max="9736" width="2" style="13" customWidth="1"/>
    <col min="9737" max="9738" width="7.44140625" style="13" customWidth="1"/>
    <col min="9739" max="9984" width="8.88671875" style="13" customWidth="1"/>
    <col min="9985" max="9985" width="8.6640625" style="13" customWidth="1"/>
    <col min="9986" max="9991" width="6.109375" style="13" customWidth="1"/>
    <col min="9992" max="9992" width="2" style="13" customWidth="1"/>
    <col min="9993" max="9994" width="7.44140625" style="13" customWidth="1"/>
    <col min="9995" max="10240" width="8.88671875" style="13" customWidth="1"/>
    <col min="10241" max="10241" width="8.6640625" style="13" customWidth="1"/>
    <col min="10242" max="10247" width="6.109375" style="13" customWidth="1"/>
    <col min="10248" max="10248" width="2" style="13" customWidth="1"/>
    <col min="10249" max="10250" width="7.44140625" style="13" customWidth="1"/>
    <col min="10251" max="10496" width="8.88671875" style="13" customWidth="1"/>
    <col min="10497" max="10497" width="8.6640625" style="13" customWidth="1"/>
    <col min="10498" max="10503" width="6.109375" style="13" customWidth="1"/>
    <col min="10504" max="10504" width="2" style="13" customWidth="1"/>
    <col min="10505" max="10506" width="7.44140625" style="13" customWidth="1"/>
    <col min="10507" max="10752" width="8.88671875" style="13" customWidth="1"/>
    <col min="10753" max="10753" width="8.6640625" style="13" customWidth="1"/>
    <col min="10754" max="10759" width="6.109375" style="13" customWidth="1"/>
    <col min="10760" max="10760" width="2" style="13" customWidth="1"/>
    <col min="10761" max="10762" width="7.44140625" style="13" customWidth="1"/>
    <col min="10763" max="11008" width="8.88671875" style="13" customWidth="1"/>
    <col min="11009" max="11009" width="8.6640625" style="13" customWidth="1"/>
    <col min="11010" max="11015" width="6.109375" style="13" customWidth="1"/>
    <col min="11016" max="11016" width="2" style="13" customWidth="1"/>
    <col min="11017" max="11018" width="7.44140625" style="13" customWidth="1"/>
    <col min="11019" max="11264" width="8.88671875" style="13" customWidth="1"/>
    <col min="11265" max="11265" width="8.6640625" style="13" customWidth="1"/>
    <col min="11266" max="11271" width="6.109375" style="13" customWidth="1"/>
    <col min="11272" max="11272" width="2" style="13" customWidth="1"/>
    <col min="11273" max="11274" width="7.44140625" style="13" customWidth="1"/>
    <col min="11275" max="11520" width="8.88671875" style="13" customWidth="1"/>
    <col min="11521" max="11521" width="8.6640625" style="13" customWidth="1"/>
    <col min="11522" max="11527" width="6.109375" style="13" customWidth="1"/>
    <col min="11528" max="11528" width="2" style="13" customWidth="1"/>
    <col min="11529" max="11530" width="7.44140625" style="13" customWidth="1"/>
    <col min="11531" max="11776" width="8.88671875" style="13" customWidth="1"/>
    <col min="11777" max="11777" width="8.6640625" style="13" customWidth="1"/>
    <col min="11778" max="11783" width="6.109375" style="13" customWidth="1"/>
    <col min="11784" max="11784" width="2" style="13" customWidth="1"/>
    <col min="11785" max="11786" width="7.44140625" style="13" customWidth="1"/>
    <col min="11787" max="12032" width="8.88671875" style="13" customWidth="1"/>
    <col min="12033" max="12033" width="8.6640625" style="13" customWidth="1"/>
    <col min="12034" max="12039" width="6.109375" style="13" customWidth="1"/>
    <col min="12040" max="12040" width="2" style="13" customWidth="1"/>
    <col min="12041" max="12042" width="7.44140625" style="13" customWidth="1"/>
    <col min="12043" max="12288" width="8.88671875" style="13" customWidth="1"/>
    <col min="12289" max="12289" width="8.6640625" style="13" customWidth="1"/>
    <col min="12290" max="12295" width="6.109375" style="13" customWidth="1"/>
    <col min="12296" max="12296" width="2" style="13" customWidth="1"/>
    <col min="12297" max="12298" width="7.44140625" style="13" customWidth="1"/>
    <col min="12299" max="12544" width="8.88671875" style="13" customWidth="1"/>
    <col min="12545" max="12545" width="8.6640625" style="13" customWidth="1"/>
    <col min="12546" max="12551" width="6.109375" style="13" customWidth="1"/>
    <col min="12552" max="12552" width="2" style="13" customWidth="1"/>
    <col min="12553" max="12554" width="7.44140625" style="13" customWidth="1"/>
    <col min="12555" max="12800" width="8.88671875" style="13" customWidth="1"/>
    <col min="12801" max="12801" width="8.6640625" style="13" customWidth="1"/>
    <col min="12802" max="12807" width="6.109375" style="13" customWidth="1"/>
    <col min="12808" max="12808" width="2" style="13" customWidth="1"/>
    <col min="12809" max="12810" width="7.44140625" style="13" customWidth="1"/>
    <col min="12811" max="13056" width="8.88671875" style="13" customWidth="1"/>
    <col min="13057" max="13057" width="8.6640625" style="13" customWidth="1"/>
    <col min="13058" max="13063" width="6.109375" style="13" customWidth="1"/>
    <col min="13064" max="13064" width="2" style="13" customWidth="1"/>
    <col min="13065" max="13066" width="7.44140625" style="13" customWidth="1"/>
    <col min="13067" max="13312" width="8.88671875" style="13" customWidth="1"/>
    <col min="13313" max="13313" width="8.6640625" style="13" customWidth="1"/>
    <col min="13314" max="13319" width="6.109375" style="13" customWidth="1"/>
    <col min="13320" max="13320" width="2" style="13" customWidth="1"/>
    <col min="13321" max="13322" width="7.44140625" style="13" customWidth="1"/>
    <col min="13323" max="13568" width="8.88671875" style="13" customWidth="1"/>
    <col min="13569" max="13569" width="8.6640625" style="13" customWidth="1"/>
    <col min="13570" max="13575" width="6.109375" style="13" customWidth="1"/>
    <col min="13576" max="13576" width="2" style="13" customWidth="1"/>
    <col min="13577" max="13578" width="7.44140625" style="13" customWidth="1"/>
    <col min="13579" max="13824" width="8.88671875" style="13" customWidth="1"/>
    <col min="13825" max="13825" width="8.6640625" style="13" customWidth="1"/>
    <col min="13826" max="13831" width="6.109375" style="13" customWidth="1"/>
    <col min="13832" max="13832" width="2" style="13" customWidth="1"/>
    <col min="13833" max="13834" width="7.44140625" style="13" customWidth="1"/>
    <col min="13835" max="14080" width="8.88671875" style="13" customWidth="1"/>
    <col min="14081" max="14081" width="8.6640625" style="13" customWidth="1"/>
    <col min="14082" max="14087" width="6.109375" style="13" customWidth="1"/>
    <col min="14088" max="14088" width="2" style="13" customWidth="1"/>
    <col min="14089" max="14090" width="7.44140625" style="13" customWidth="1"/>
    <col min="14091" max="14336" width="8.88671875" style="13" customWidth="1"/>
    <col min="14337" max="14337" width="8.6640625" style="13" customWidth="1"/>
    <col min="14338" max="14343" width="6.109375" style="13" customWidth="1"/>
    <col min="14344" max="14344" width="2" style="13" customWidth="1"/>
    <col min="14345" max="14346" width="7.44140625" style="13" customWidth="1"/>
    <col min="14347" max="14592" width="8.88671875" style="13" customWidth="1"/>
    <col min="14593" max="14593" width="8.6640625" style="13" customWidth="1"/>
    <col min="14594" max="14599" width="6.109375" style="13" customWidth="1"/>
    <col min="14600" max="14600" width="2" style="13" customWidth="1"/>
    <col min="14601" max="14602" width="7.44140625" style="13" customWidth="1"/>
    <col min="14603" max="14848" width="8.88671875" style="13" customWidth="1"/>
    <col min="14849" max="14849" width="8.6640625" style="13" customWidth="1"/>
    <col min="14850" max="14855" width="6.109375" style="13" customWidth="1"/>
    <col min="14856" max="14856" width="2" style="13" customWidth="1"/>
    <col min="14857" max="14858" width="7.44140625" style="13" customWidth="1"/>
    <col min="14859" max="15104" width="8.88671875" style="13" customWidth="1"/>
    <col min="15105" max="15105" width="8.6640625" style="13" customWidth="1"/>
    <col min="15106" max="15111" width="6.109375" style="13" customWidth="1"/>
    <col min="15112" max="15112" width="2" style="13" customWidth="1"/>
    <col min="15113" max="15114" width="7.44140625" style="13" customWidth="1"/>
    <col min="15115" max="15360" width="8.88671875" style="13" customWidth="1"/>
    <col min="15361" max="15361" width="8.6640625" style="13" customWidth="1"/>
    <col min="15362" max="15367" width="6.109375" style="13" customWidth="1"/>
    <col min="15368" max="15368" width="2" style="13" customWidth="1"/>
    <col min="15369" max="15370" width="7.44140625" style="13" customWidth="1"/>
    <col min="15371" max="15616" width="8.88671875" style="13" customWidth="1"/>
    <col min="15617" max="15617" width="8.6640625" style="13" customWidth="1"/>
    <col min="15618" max="15623" width="6.109375" style="13" customWidth="1"/>
    <col min="15624" max="15624" width="2" style="13" customWidth="1"/>
    <col min="15625" max="15626" width="7.44140625" style="13" customWidth="1"/>
    <col min="15627" max="15872" width="8.88671875" style="13" customWidth="1"/>
    <col min="15873" max="15873" width="8.6640625" style="13" customWidth="1"/>
    <col min="15874" max="15879" width="6.109375" style="13" customWidth="1"/>
    <col min="15880" max="15880" width="2" style="13" customWidth="1"/>
    <col min="15881" max="15882" width="7.44140625" style="13" customWidth="1"/>
    <col min="15883" max="16128" width="8.88671875" style="13" customWidth="1"/>
    <col min="16129" max="16129" width="8.6640625" style="13" customWidth="1"/>
    <col min="16130" max="16135" width="6.109375" style="13" customWidth="1"/>
    <col min="16136" max="16136" width="2" style="13" customWidth="1"/>
    <col min="16137" max="16138" width="7.44140625" style="13" customWidth="1"/>
    <col min="16139" max="16384" width="8.88671875" style="13" customWidth="1"/>
  </cols>
  <sheetData>
    <row r="1" spans="1:15" ht="18" customHeight="1">
      <c r="A1" s="188" t="str">
        <f ca="1">MID(CELL("filename",A2),FIND("]",CELL("filename",A2))+1,255)</f>
        <v xml:space="preserve">CPK测量记录-C36717 (黑卡) </v>
      </c>
      <c r="B1" s="129"/>
      <c r="C1" s="129"/>
      <c r="D1" s="129"/>
      <c r="E1" s="129"/>
      <c r="F1" s="129"/>
      <c r="G1" s="129"/>
    </row>
    <row r="2" spans="1:15" ht="13.5" customHeight="1">
      <c r="A2" s="14"/>
      <c r="B2" s="15" t="s">
        <v>163</v>
      </c>
      <c r="C2" s="15" t="s">
        <v>164</v>
      </c>
      <c r="D2" s="15" t="s">
        <v>165</v>
      </c>
      <c r="E2" s="15" t="s">
        <v>166</v>
      </c>
      <c r="F2" s="15"/>
      <c r="G2" s="15"/>
    </row>
    <row r="3" spans="1:15" ht="19.95" customHeight="1">
      <c r="A3" s="16" t="s">
        <v>167</v>
      </c>
      <c r="B3" s="103">
        <v>15.25</v>
      </c>
      <c r="C3" s="103">
        <v>15.25</v>
      </c>
      <c r="D3" s="103">
        <v>15.25</v>
      </c>
      <c r="E3" s="103">
        <v>15.25</v>
      </c>
      <c r="F3" s="103"/>
      <c r="G3" s="103"/>
      <c r="H3" s="104"/>
      <c r="I3" s="192" t="s">
        <v>168</v>
      </c>
      <c r="J3" s="113"/>
      <c r="K3" s="113"/>
      <c r="L3" s="113"/>
      <c r="M3" s="113"/>
      <c r="N3" s="113"/>
      <c r="O3" s="114"/>
    </row>
    <row r="4" spans="1:15" ht="20.55" customHeight="1">
      <c r="A4" s="16" t="s">
        <v>169</v>
      </c>
      <c r="B4" s="105">
        <v>14.75</v>
      </c>
      <c r="C4" s="105">
        <v>14.75</v>
      </c>
      <c r="D4" s="105">
        <v>14.75</v>
      </c>
      <c r="E4" s="103">
        <v>14.75</v>
      </c>
      <c r="F4" s="103"/>
      <c r="G4" s="105"/>
      <c r="H4" s="104"/>
      <c r="I4" s="189"/>
      <c r="J4" s="155"/>
      <c r="K4" s="155"/>
      <c r="L4" s="155"/>
      <c r="M4" s="155"/>
      <c r="N4" s="155"/>
      <c r="O4" s="133"/>
    </row>
    <row r="5" spans="1:15" ht="13.5" customHeight="1">
      <c r="A5" s="17" t="s">
        <v>170</v>
      </c>
      <c r="B5" s="105">
        <f>(B3-B4)/2</f>
        <v>0.25</v>
      </c>
      <c r="C5" s="105">
        <f>(C3-C4)/2</f>
        <v>0.25</v>
      </c>
      <c r="D5" s="105">
        <f>(D3-D4)/2</f>
        <v>0.25</v>
      </c>
      <c r="E5" s="105">
        <f>(E3-E4)/2</f>
        <v>0.25</v>
      </c>
      <c r="F5" s="105"/>
      <c r="G5" s="105"/>
      <c r="H5" s="104"/>
      <c r="I5" s="147"/>
      <c r="J5" s="190"/>
      <c r="K5" s="190"/>
      <c r="L5" s="190"/>
      <c r="M5" s="190"/>
      <c r="N5" s="190"/>
      <c r="O5" s="120"/>
    </row>
    <row r="6" spans="1:15">
      <c r="A6" s="18" t="s">
        <v>171</v>
      </c>
      <c r="B6" s="106">
        <f>IF(ISBLANK(B$4),"*",IF(ISBLANK(B$3),"*",IF(B$9&lt;&gt;0,(B$3-B$4)/(6*B$9),"No Stdev")))</f>
        <v>1.9476399017959765</v>
      </c>
      <c r="C6" s="106">
        <f>IF(ISBLANK(C$4),"*",IF(ISBLANK(C$3),"*",IF(C$9&lt;&gt;0,(C$3-C$4)/(6*C$9),"No Stdev")))</f>
        <v>1.2624695346758865</v>
      </c>
      <c r="D6" s="106">
        <f>IF(ISBLANK(D$4),"*",IF(ISBLANK(D$3),"*",IF(D$9&lt;&gt;0,(D$3-D$4)/(6*D$9),"No Stdev")))</f>
        <v>1.6044804092240155</v>
      </c>
      <c r="E6" s="106">
        <f>IF(ISBLANK(E$4),"*",IF(ISBLANK(E$3),"*",IF(E$9&lt;&gt;0,(E$3-E$4)/(6*E$9),"No Stdev")))</f>
        <v>0.56996967579727331</v>
      </c>
      <c r="F6" s="106"/>
      <c r="G6" s="106"/>
      <c r="H6" s="104"/>
      <c r="I6" s="147"/>
      <c r="J6" s="190"/>
      <c r="K6" s="190"/>
      <c r="L6" s="190"/>
      <c r="M6" s="190"/>
      <c r="N6" s="190"/>
      <c r="O6" s="120"/>
    </row>
    <row r="7" spans="1:15">
      <c r="A7" s="18" t="s">
        <v>172</v>
      </c>
      <c r="B7" s="107">
        <f>IF(B$9&lt;&gt;0,(B3-B10)/(3*B9),"No Stdev")</f>
        <v>1.1426154090536105</v>
      </c>
      <c r="C7" s="107">
        <f>IF(C$9&lt;&gt;0,(C3-C10)/(3*C9),"No Stdev")</f>
        <v>1.2192089119543521</v>
      </c>
      <c r="D7" s="107">
        <f>IF(D$9&lt;&gt;0,(D3-D10)/(3*D9),"No Stdev")</f>
        <v>1.0512555641235761</v>
      </c>
      <c r="E7" s="107">
        <f>IF(E$9&lt;&gt;0,(E3-E10)/(3*E9),"No Stdev")</f>
        <v>0.66846043577504743</v>
      </c>
      <c r="F7" s="107"/>
      <c r="G7" s="107"/>
      <c r="H7" s="104"/>
      <c r="I7" s="147"/>
      <c r="J7" s="190"/>
      <c r="K7" s="190"/>
      <c r="L7" s="190"/>
      <c r="M7" s="190"/>
      <c r="N7" s="190"/>
      <c r="O7" s="120"/>
    </row>
    <row r="8" spans="1:15">
      <c r="A8" s="18" t="s">
        <v>173</v>
      </c>
      <c r="B8" s="107">
        <f>IF(B$9&lt;&gt;0,(B10-B4)/(3*B9),"No Stdev")</f>
        <v>2.7526643945383422</v>
      </c>
      <c r="C8" s="107">
        <f>IF(C$9&lt;&gt;0,(C10-C4)/(3*C9),"No Stdev")</f>
        <v>1.3057301573974207</v>
      </c>
      <c r="D8" s="107">
        <f>IF(D$9&lt;&gt;0,(D10-D4)/(3*D9),"No Stdev")</f>
        <v>2.1577052543244548</v>
      </c>
      <c r="E8" s="107">
        <f>IF(E$9&lt;&gt;0,(E10-E4)/(3*E9),"No Stdev")</f>
        <v>0.47147891581949913</v>
      </c>
      <c r="F8" s="107"/>
      <c r="G8" s="107"/>
      <c r="H8" s="104"/>
      <c r="I8" s="147"/>
      <c r="J8" s="190"/>
      <c r="K8" s="190"/>
      <c r="L8" s="190"/>
      <c r="M8" s="190"/>
      <c r="N8" s="190"/>
      <c r="O8" s="120"/>
    </row>
    <row r="9" spans="1:15">
      <c r="A9" s="18" t="s">
        <v>174</v>
      </c>
      <c r="B9" s="107">
        <f>STDEV(B17:B46)</f>
        <v>4.2786827922599656E-2</v>
      </c>
      <c r="C9" s="107">
        <f>STDEV(C17:C46)</f>
        <v>6.6008193500469284E-2</v>
      </c>
      <c r="D9" s="107">
        <f>STDEV(D17:D46)</f>
        <v>5.1937893946387502E-2</v>
      </c>
      <c r="E9" s="107">
        <f>STDEV(E17:E46)</f>
        <v>0.14620660865293703</v>
      </c>
      <c r="F9" s="107"/>
      <c r="G9" s="107"/>
      <c r="H9" s="104"/>
      <c r="I9" s="147"/>
      <c r="J9" s="190"/>
      <c r="K9" s="190"/>
      <c r="L9" s="190"/>
      <c r="M9" s="190"/>
      <c r="N9" s="190"/>
      <c r="O9" s="120"/>
    </row>
    <row r="10" spans="1:15">
      <c r="A10" s="18" t="s">
        <v>175</v>
      </c>
      <c r="B10" s="108">
        <f>AVERAGE(B17:B46)</f>
        <v>15.103333333333337</v>
      </c>
      <c r="C10" s="108">
        <f>AVERAGE(C17:C46)</f>
        <v>15.008566666666662</v>
      </c>
      <c r="D10" s="108">
        <f>AVERAGE(D17:D46)</f>
        <v>15.0862</v>
      </c>
      <c r="E10" s="108">
        <f>AVERAGE(E17:E46)</f>
        <v>14.956799999999998</v>
      </c>
      <c r="F10" s="108"/>
      <c r="G10" s="108"/>
      <c r="H10" s="104"/>
      <c r="I10" s="147"/>
      <c r="J10" s="190"/>
      <c r="K10" s="190"/>
      <c r="L10" s="190"/>
      <c r="M10" s="190"/>
      <c r="N10" s="190"/>
      <c r="O10" s="120"/>
    </row>
    <row r="11" spans="1:15">
      <c r="A11" s="18" t="s">
        <v>176</v>
      </c>
      <c r="B11" s="107">
        <f>MEDIAN(B17:B46)</f>
        <v>15.097999999999999</v>
      </c>
      <c r="C11" s="107">
        <f>MEDIAN(C17:C46)</f>
        <v>15.02</v>
      </c>
      <c r="D11" s="107">
        <f>MEDIAN(D17:D46)</f>
        <v>15.088000000000001</v>
      </c>
      <c r="E11" s="107">
        <f>MEDIAN(E17:E46)</f>
        <v>14.951000000000001</v>
      </c>
      <c r="F11" s="107"/>
      <c r="G11" s="107"/>
      <c r="H11" s="104"/>
      <c r="I11" s="147"/>
      <c r="J11" s="190"/>
      <c r="K11" s="190"/>
      <c r="L11" s="190"/>
      <c r="M11" s="190"/>
      <c r="N11" s="190"/>
      <c r="O11" s="120"/>
    </row>
    <row r="12" spans="1:15">
      <c r="A12" s="18" t="s">
        <v>177</v>
      </c>
      <c r="B12" s="107">
        <f>MIN(B17:B46)</f>
        <v>14.987</v>
      </c>
      <c r="C12" s="107">
        <f>MIN(C17:C46)</f>
        <v>14.765000000000001</v>
      </c>
      <c r="D12" s="107">
        <f>MIN(D17:D46)</f>
        <v>15.01</v>
      </c>
      <c r="E12" s="107">
        <f>MIN(E17:E46)</f>
        <v>14.753</v>
      </c>
      <c r="F12" s="107"/>
      <c r="G12" s="107"/>
      <c r="H12" s="104"/>
      <c r="I12" s="147"/>
      <c r="J12" s="190"/>
      <c r="K12" s="190"/>
      <c r="L12" s="190"/>
      <c r="M12" s="190"/>
      <c r="N12" s="190"/>
      <c r="O12" s="120"/>
    </row>
    <row r="13" spans="1:15">
      <c r="A13" s="18" t="s">
        <v>178</v>
      </c>
      <c r="B13" s="107">
        <f>MAX(B17:B46)</f>
        <v>15.172000000000001</v>
      </c>
      <c r="C13" s="107">
        <f>MAX(C17:C46)</f>
        <v>15.12</v>
      </c>
      <c r="D13" s="107">
        <f>MAX(D17:D46)</f>
        <v>15.263999999999999</v>
      </c>
      <c r="E13" s="107">
        <f>MAX(E17:E46)</f>
        <v>15.53</v>
      </c>
      <c r="F13" s="107"/>
      <c r="G13" s="107"/>
      <c r="H13" s="104"/>
      <c r="I13" s="147"/>
      <c r="J13" s="190"/>
      <c r="K13" s="190"/>
      <c r="L13" s="190"/>
      <c r="M13" s="190"/>
      <c r="N13" s="190"/>
      <c r="O13" s="120"/>
    </row>
    <row r="14" spans="1:15">
      <c r="A14" s="18" t="s">
        <v>179</v>
      </c>
      <c r="B14" s="109">
        <f>B13-B12</f>
        <v>0.1850000000000005</v>
      </c>
      <c r="C14" s="109">
        <f>C13-C12</f>
        <v>0.35499999999999865</v>
      </c>
      <c r="D14" s="109">
        <f>D13-D12</f>
        <v>0.25399999999999956</v>
      </c>
      <c r="E14" s="109">
        <f>E13-E12</f>
        <v>0.77699999999999925</v>
      </c>
      <c r="F14" s="109"/>
      <c r="G14" s="109"/>
      <c r="H14" s="104"/>
      <c r="I14" s="147"/>
      <c r="J14" s="190"/>
      <c r="K14" s="190"/>
      <c r="L14" s="190"/>
      <c r="M14" s="190"/>
      <c r="N14" s="190"/>
      <c r="O14" s="120"/>
    </row>
    <row r="15" spans="1:15">
      <c r="A15" s="110"/>
      <c r="E15" s="13"/>
      <c r="I15" s="147"/>
      <c r="J15" s="190"/>
      <c r="K15" s="190"/>
      <c r="L15" s="190"/>
      <c r="M15" s="190"/>
      <c r="N15" s="190"/>
      <c r="O15" s="120"/>
    </row>
    <row r="16" spans="1:15" ht="13.5" customHeight="1">
      <c r="A16" s="19"/>
      <c r="B16" s="187" t="s">
        <v>180</v>
      </c>
      <c r="C16" s="113"/>
      <c r="D16" s="113"/>
      <c r="E16" s="113"/>
      <c r="F16" s="113"/>
      <c r="G16" s="114"/>
      <c r="I16" s="147"/>
      <c r="J16" s="190"/>
      <c r="K16" s="190"/>
      <c r="L16" s="190"/>
      <c r="M16" s="190"/>
      <c r="N16" s="190"/>
      <c r="O16" s="120"/>
    </row>
    <row r="17" spans="1:21" ht="13.5" customHeight="1">
      <c r="A17" s="20">
        <v>1</v>
      </c>
      <c r="B17" s="21">
        <v>15.089</v>
      </c>
      <c r="C17" s="21">
        <v>15.032</v>
      </c>
      <c r="D17" s="21">
        <v>15.047000000000001</v>
      </c>
      <c r="E17" s="21">
        <v>14.85</v>
      </c>
      <c r="F17" s="21"/>
      <c r="G17" s="21"/>
      <c r="I17" s="147"/>
      <c r="J17" s="190"/>
      <c r="K17" s="190"/>
      <c r="L17" s="190"/>
      <c r="M17" s="190"/>
      <c r="N17" s="190"/>
      <c r="O17" s="120"/>
    </row>
    <row r="18" spans="1:21" ht="13.5" customHeight="1">
      <c r="A18" s="20">
        <v>2</v>
      </c>
      <c r="B18" s="21">
        <v>15.172000000000001</v>
      </c>
      <c r="C18" s="21">
        <v>15.032999999999999</v>
      </c>
      <c r="D18" s="21">
        <v>15.164999999999999</v>
      </c>
      <c r="E18" s="21">
        <v>14.891</v>
      </c>
      <c r="F18" s="21"/>
      <c r="G18" s="21"/>
      <c r="I18" s="147"/>
      <c r="J18" s="190"/>
      <c r="K18" s="190"/>
      <c r="L18" s="190"/>
      <c r="M18" s="190"/>
      <c r="N18" s="190"/>
      <c r="O18" s="120"/>
    </row>
    <row r="19" spans="1:21" ht="13.5" customHeight="1">
      <c r="A19" s="20">
        <v>3</v>
      </c>
      <c r="B19" s="21">
        <v>15.167</v>
      </c>
      <c r="C19" s="21">
        <v>15.038</v>
      </c>
      <c r="D19" s="21">
        <v>15.119</v>
      </c>
      <c r="E19" s="21">
        <v>14.849</v>
      </c>
      <c r="F19" s="21"/>
      <c r="G19" s="21"/>
      <c r="I19" s="147"/>
      <c r="J19" s="190"/>
      <c r="K19" s="190"/>
      <c r="L19" s="190"/>
      <c r="M19" s="190"/>
      <c r="N19" s="190"/>
      <c r="O19" s="120"/>
    </row>
    <row r="20" spans="1:21" ht="13.5" customHeight="1">
      <c r="A20" s="20">
        <v>4</v>
      </c>
      <c r="B20" s="21">
        <v>15.087</v>
      </c>
      <c r="C20" s="21">
        <v>15.12</v>
      </c>
      <c r="D20" s="21">
        <v>15.016</v>
      </c>
      <c r="E20" s="21">
        <v>15.53</v>
      </c>
      <c r="F20" s="21"/>
      <c r="G20" s="21"/>
      <c r="I20" s="147"/>
      <c r="J20" s="190"/>
      <c r="K20" s="190"/>
      <c r="L20" s="190"/>
      <c r="M20" s="190"/>
      <c r="N20" s="190"/>
      <c r="O20" s="120"/>
    </row>
    <row r="21" spans="1:21" ht="13.5" customHeight="1">
      <c r="A21" s="20">
        <v>5</v>
      </c>
      <c r="B21" s="21">
        <v>14.987</v>
      </c>
      <c r="C21" s="21">
        <v>14.978999999999999</v>
      </c>
      <c r="D21" s="21">
        <v>15.054</v>
      </c>
      <c r="E21" s="21">
        <v>14.98</v>
      </c>
      <c r="F21" s="21"/>
      <c r="G21" s="21"/>
      <c r="I21" s="147"/>
      <c r="J21" s="190"/>
      <c r="K21" s="190"/>
      <c r="L21" s="190"/>
      <c r="M21" s="190"/>
      <c r="N21" s="190"/>
      <c r="O21" s="120"/>
    </row>
    <row r="22" spans="1:21" ht="13.5" customHeight="1">
      <c r="A22" s="20">
        <v>6</v>
      </c>
      <c r="B22" s="21">
        <v>15.121</v>
      </c>
      <c r="C22" s="21">
        <v>15.052</v>
      </c>
      <c r="D22" s="21">
        <v>15.122</v>
      </c>
      <c r="E22" s="21">
        <v>14.967000000000001</v>
      </c>
      <c r="F22" s="21"/>
      <c r="G22" s="21"/>
      <c r="I22" s="147"/>
      <c r="J22" s="190"/>
      <c r="K22" s="190"/>
      <c r="L22" s="190"/>
      <c r="M22" s="190"/>
      <c r="N22" s="190"/>
      <c r="O22" s="120"/>
    </row>
    <row r="23" spans="1:21" ht="13.5" customHeight="1">
      <c r="A23" s="20">
        <v>7</v>
      </c>
      <c r="B23" s="21">
        <v>15.108000000000001</v>
      </c>
      <c r="C23" s="21">
        <v>14.992000000000001</v>
      </c>
      <c r="D23" s="21">
        <v>15.129</v>
      </c>
      <c r="E23" s="21">
        <v>14.878</v>
      </c>
      <c r="F23" s="21"/>
      <c r="G23" s="21"/>
      <c r="I23" s="147"/>
      <c r="J23" s="190"/>
      <c r="K23" s="190"/>
      <c r="L23" s="190"/>
      <c r="M23" s="190"/>
      <c r="N23" s="190"/>
      <c r="O23" s="120"/>
    </row>
    <row r="24" spans="1:21" ht="13.5" customHeight="1">
      <c r="A24" s="20">
        <v>8</v>
      </c>
      <c r="B24" s="21">
        <v>15.041</v>
      </c>
      <c r="C24" s="21">
        <v>15.054</v>
      </c>
      <c r="D24" s="21">
        <v>15.263999999999999</v>
      </c>
      <c r="E24" s="21">
        <v>14.756</v>
      </c>
      <c r="F24" s="21"/>
      <c r="G24" s="21"/>
      <c r="I24" s="147"/>
      <c r="J24" s="190"/>
      <c r="K24" s="190"/>
      <c r="L24" s="190"/>
      <c r="M24" s="190"/>
      <c r="N24" s="190"/>
      <c r="O24" s="120"/>
      <c r="P24" s="22"/>
      <c r="Q24" s="22"/>
    </row>
    <row r="25" spans="1:21" ht="13.5" customHeight="1">
      <c r="A25" s="20">
        <v>9</v>
      </c>
      <c r="B25" s="21">
        <v>15.089</v>
      </c>
      <c r="C25" s="21">
        <v>15.006</v>
      </c>
      <c r="D25" s="21">
        <v>15.041</v>
      </c>
      <c r="E25" s="21">
        <v>15.007</v>
      </c>
      <c r="F25" s="21"/>
      <c r="G25" s="21"/>
      <c r="I25" s="147"/>
      <c r="J25" s="190"/>
      <c r="K25" s="190"/>
      <c r="L25" s="190"/>
      <c r="M25" s="190"/>
      <c r="N25" s="190"/>
      <c r="O25" s="120"/>
    </row>
    <row r="26" spans="1:21" ht="13.5" customHeight="1">
      <c r="A26" s="20">
        <v>10</v>
      </c>
      <c r="B26" s="21">
        <v>15.148999999999999</v>
      </c>
      <c r="C26" s="21">
        <v>15.055999999999999</v>
      </c>
      <c r="D26" s="21">
        <v>15.023</v>
      </c>
      <c r="E26" s="21">
        <v>14.804</v>
      </c>
      <c r="F26" s="21"/>
      <c r="G26" s="21"/>
      <c r="I26" s="147"/>
      <c r="J26" s="190"/>
      <c r="K26" s="190"/>
      <c r="L26" s="190"/>
      <c r="M26" s="190"/>
      <c r="N26" s="190"/>
      <c r="O26" s="120"/>
    </row>
    <row r="27" spans="1:21" ht="13.5" customHeight="1">
      <c r="A27" s="20">
        <v>11</v>
      </c>
      <c r="B27" s="21">
        <v>15.141999999999999</v>
      </c>
      <c r="C27" s="21">
        <v>14.856999999999999</v>
      </c>
      <c r="D27" s="21">
        <v>15.083</v>
      </c>
      <c r="E27" s="21">
        <v>15.007</v>
      </c>
      <c r="F27" s="21"/>
      <c r="G27" s="21"/>
      <c r="I27" s="147"/>
      <c r="J27" s="190"/>
      <c r="K27" s="190"/>
      <c r="L27" s="190"/>
      <c r="M27" s="190"/>
      <c r="N27" s="190"/>
      <c r="O27" s="120"/>
    </row>
    <row r="28" spans="1:21" ht="13.5" customHeight="1">
      <c r="A28" s="20">
        <v>12</v>
      </c>
      <c r="B28" s="21">
        <v>15.045999999999999</v>
      </c>
      <c r="C28" s="21">
        <v>15.07</v>
      </c>
      <c r="D28" s="21">
        <v>15.1</v>
      </c>
      <c r="E28" s="21">
        <v>14.944000000000001</v>
      </c>
      <c r="F28" s="21"/>
      <c r="G28" s="21"/>
      <c r="I28" s="148"/>
      <c r="J28" s="129"/>
      <c r="K28" s="129"/>
      <c r="L28" s="129"/>
      <c r="M28" s="129"/>
      <c r="N28" s="129"/>
      <c r="O28" s="130"/>
    </row>
    <row r="29" spans="1:21" ht="19.95" customHeight="1">
      <c r="A29" s="20">
        <v>13</v>
      </c>
      <c r="B29" s="21">
        <v>15.144</v>
      </c>
      <c r="C29" s="21">
        <v>15.025</v>
      </c>
      <c r="D29" s="21">
        <v>15.096</v>
      </c>
      <c r="E29" s="21">
        <v>14.95</v>
      </c>
      <c r="F29" s="21"/>
      <c r="G29" s="21"/>
      <c r="I29" s="192" t="s">
        <v>181</v>
      </c>
      <c r="J29" s="113"/>
      <c r="K29" s="113"/>
      <c r="L29" s="113"/>
      <c r="M29" s="113"/>
      <c r="N29" s="113"/>
      <c r="O29" s="114"/>
      <c r="P29" s="12"/>
      <c r="Q29" s="12"/>
      <c r="R29" s="12"/>
      <c r="S29" s="12"/>
      <c r="T29" s="12"/>
      <c r="U29" s="12"/>
    </row>
    <row r="30" spans="1:21" ht="13.5" customHeight="1">
      <c r="A30" s="20">
        <v>14</v>
      </c>
      <c r="B30" s="21">
        <v>15.172000000000001</v>
      </c>
      <c r="C30" s="21">
        <v>15.045</v>
      </c>
      <c r="D30" s="21">
        <v>15.071999999999999</v>
      </c>
      <c r="E30" s="21">
        <v>14.798999999999999</v>
      </c>
      <c r="F30" s="21"/>
      <c r="G30" s="21"/>
      <c r="I30" s="191" t="s">
        <v>182</v>
      </c>
      <c r="J30" s="155"/>
      <c r="K30" s="155"/>
      <c r="L30" s="155"/>
      <c r="M30" s="155"/>
      <c r="N30" s="155"/>
      <c r="O30" s="133"/>
    </row>
    <row r="31" spans="1:21" ht="13.5" customHeight="1">
      <c r="A31" s="20">
        <v>15</v>
      </c>
      <c r="B31" s="21">
        <v>15.116</v>
      </c>
      <c r="C31" s="21">
        <v>14.765000000000001</v>
      </c>
      <c r="D31" s="21">
        <v>15.01</v>
      </c>
      <c r="E31" s="21">
        <v>15.208</v>
      </c>
      <c r="F31" s="21"/>
      <c r="G31" s="21"/>
      <c r="I31" s="147"/>
      <c r="J31" s="190"/>
      <c r="K31" s="190"/>
      <c r="L31" s="190"/>
      <c r="M31" s="190"/>
      <c r="N31" s="190"/>
      <c r="O31" s="120"/>
    </row>
    <row r="32" spans="1:21" ht="13.5" customHeight="1">
      <c r="A32" s="20">
        <v>16</v>
      </c>
      <c r="B32" s="21">
        <v>15.141999999999999</v>
      </c>
      <c r="C32" s="21">
        <v>14.952</v>
      </c>
      <c r="D32" s="21">
        <v>15.065</v>
      </c>
      <c r="E32" s="21">
        <v>15.003</v>
      </c>
      <c r="F32" s="21"/>
      <c r="G32" s="21"/>
      <c r="I32" s="147"/>
      <c r="J32" s="190"/>
      <c r="K32" s="190"/>
      <c r="L32" s="190"/>
      <c r="M32" s="190"/>
      <c r="N32" s="190"/>
      <c r="O32" s="120"/>
    </row>
    <row r="33" spans="1:15" ht="13.5" customHeight="1">
      <c r="A33" s="20">
        <v>17</v>
      </c>
      <c r="B33" s="21">
        <v>15.1</v>
      </c>
      <c r="C33" s="21">
        <v>15.004</v>
      </c>
      <c r="D33" s="21">
        <v>15.061999999999999</v>
      </c>
      <c r="E33" s="21">
        <v>14.976000000000001</v>
      </c>
      <c r="F33" s="21"/>
      <c r="G33" s="21"/>
      <c r="I33" s="147"/>
      <c r="J33" s="190"/>
      <c r="K33" s="190"/>
      <c r="L33" s="190"/>
      <c r="M33" s="190"/>
      <c r="N33" s="190"/>
      <c r="O33" s="120"/>
    </row>
    <row r="34" spans="1:15" ht="13.5" customHeight="1">
      <c r="A34" s="20">
        <v>18</v>
      </c>
      <c r="B34" s="21">
        <v>15.105</v>
      </c>
      <c r="C34" s="21">
        <v>15.044</v>
      </c>
      <c r="D34" s="21">
        <v>15.131</v>
      </c>
      <c r="E34" s="21">
        <v>14.989000000000001</v>
      </c>
      <c r="F34" s="21"/>
      <c r="G34" s="21"/>
      <c r="I34" s="148"/>
      <c r="J34" s="129"/>
      <c r="K34" s="129"/>
      <c r="L34" s="129"/>
      <c r="M34" s="129"/>
      <c r="N34" s="129"/>
      <c r="O34" s="130"/>
    </row>
    <row r="35" spans="1:15" ht="13.5" customHeight="1">
      <c r="A35" s="20">
        <v>19</v>
      </c>
      <c r="B35" s="21">
        <v>15.164999999999999</v>
      </c>
      <c r="C35" s="21">
        <v>14.965</v>
      </c>
      <c r="D35" s="21">
        <v>15.057</v>
      </c>
      <c r="E35" s="21">
        <v>14.952</v>
      </c>
      <c r="F35" s="21"/>
      <c r="G35" s="21"/>
      <c r="J35" s="12"/>
      <c r="K35" s="12"/>
    </row>
    <row r="36" spans="1:15" ht="13.5" customHeight="1">
      <c r="A36" s="20">
        <v>20</v>
      </c>
      <c r="B36" s="21">
        <v>15.112</v>
      </c>
      <c r="C36" s="21">
        <v>15.042</v>
      </c>
      <c r="D36" s="21">
        <v>15.097</v>
      </c>
      <c r="E36" s="21">
        <v>14.942</v>
      </c>
      <c r="F36" s="21"/>
      <c r="G36" s="21"/>
      <c r="J36" s="12"/>
      <c r="K36" s="12"/>
    </row>
    <row r="37" spans="1:15" ht="13.5" customHeight="1">
      <c r="A37" s="20">
        <v>21</v>
      </c>
      <c r="B37" s="21">
        <v>15.096</v>
      </c>
      <c r="C37" s="21">
        <v>14.996</v>
      </c>
      <c r="D37" s="21">
        <v>15.117000000000001</v>
      </c>
      <c r="E37" s="21">
        <v>14.925000000000001</v>
      </c>
      <c r="F37" s="21"/>
      <c r="G37" s="21"/>
      <c r="J37" s="12"/>
      <c r="K37" s="12"/>
    </row>
    <row r="38" spans="1:15" ht="13.5" customHeight="1">
      <c r="A38" s="20">
        <v>22</v>
      </c>
      <c r="B38" s="21">
        <v>15.05</v>
      </c>
      <c r="C38" s="21">
        <v>14.986000000000001</v>
      </c>
      <c r="D38" s="21">
        <v>15.109</v>
      </c>
      <c r="E38" s="21">
        <v>14.858000000000001</v>
      </c>
      <c r="F38" s="21"/>
      <c r="G38" s="21"/>
      <c r="J38" s="12"/>
      <c r="K38" s="12"/>
    </row>
    <row r="39" spans="1:15" ht="13.5" customHeight="1">
      <c r="A39" s="20">
        <v>23</v>
      </c>
      <c r="B39" s="21">
        <v>15.074999999999999</v>
      </c>
      <c r="C39" s="21">
        <v>15.06</v>
      </c>
      <c r="D39" s="21">
        <v>15.106999999999999</v>
      </c>
      <c r="E39" s="21">
        <v>14.753</v>
      </c>
      <c r="F39" s="21"/>
      <c r="G39" s="21"/>
      <c r="J39" s="12"/>
      <c r="K39" s="12"/>
    </row>
    <row r="40" spans="1:15" ht="13.5" customHeight="1">
      <c r="A40" s="20">
        <v>24</v>
      </c>
      <c r="B40" s="21">
        <v>15.069000000000001</v>
      </c>
      <c r="C40" s="21">
        <v>15.066000000000001</v>
      </c>
      <c r="D40" s="21">
        <v>15.134</v>
      </c>
      <c r="E40" s="21">
        <v>14.843</v>
      </c>
      <c r="F40" s="21"/>
      <c r="G40" s="21"/>
      <c r="J40" s="12"/>
      <c r="K40" s="12"/>
    </row>
    <row r="41" spans="1:15" ht="13.5" customHeight="1">
      <c r="A41" s="20">
        <v>25</v>
      </c>
      <c r="B41" s="21">
        <v>15.079000000000001</v>
      </c>
      <c r="C41" s="21">
        <v>15.015000000000001</v>
      </c>
      <c r="D41" s="21">
        <v>15.031000000000001</v>
      </c>
      <c r="E41" s="21">
        <v>15.022</v>
      </c>
      <c r="F41" s="21"/>
      <c r="G41" s="21"/>
      <c r="J41" s="12"/>
      <c r="K41" s="12"/>
    </row>
    <row r="42" spans="1:15" ht="13.5" customHeight="1">
      <c r="A42" s="20">
        <v>26</v>
      </c>
      <c r="B42" s="21">
        <v>15.096</v>
      </c>
      <c r="C42" s="21">
        <v>14.983000000000001</v>
      </c>
      <c r="D42" s="21">
        <v>15.096</v>
      </c>
      <c r="E42" s="21">
        <v>14.983000000000001</v>
      </c>
      <c r="F42" s="21"/>
      <c r="G42" s="21"/>
      <c r="J42" s="12"/>
      <c r="K42" s="12"/>
    </row>
    <row r="43" spans="1:15" ht="13.5" customHeight="1">
      <c r="A43" s="20">
        <v>27</v>
      </c>
      <c r="B43" s="21">
        <v>15.093</v>
      </c>
      <c r="C43" s="21">
        <v>14.984</v>
      </c>
      <c r="D43" s="21">
        <v>15.093</v>
      </c>
      <c r="E43" s="21">
        <v>14.984</v>
      </c>
      <c r="F43" s="21"/>
      <c r="G43" s="21"/>
      <c r="J43" s="12"/>
      <c r="K43" s="12"/>
    </row>
    <row r="44" spans="1:15" ht="13.5" customHeight="1">
      <c r="A44" s="20">
        <v>28</v>
      </c>
      <c r="B44" s="21">
        <v>15.093</v>
      </c>
      <c r="C44" s="21">
        <v>14.984</v>
      </c>
      <c r="D44" s="21">
        <v>15.04</v>
      </c>
      <c r="E44" s="21">
        <v>15.09</v>
      </c>
      <c r="F44" s="21"/>
      <c r="G44" s="21"/>
      <c r="J44" s="12"/>
      <c r="K44" s="12"/>
    </row>
    <row r="45" spans="1:15" ht="13.5" customHeight="1">
      <c r="A45" s="20">
        <v>29</v>
      </c>
      <c r="B45" s="21">
        <v>15.122999999999999</v>
      </c>
      <c r="C45" s="21">
        <v>15.038</v>
      </c>
      <c r="D45" s="21">
        <v>15.035</v>
      </c>
      <c r="E45" s="21">
        <v>15.039</v>
      </c>
      <c r="F45" s="21"/>
      <c r="G45" s="21"/>
      <c r="K45" s="12"/>
    </row>
    <row r="46" spans="1:15" ht="13.5" customHeight="1">
      <c r="A46" s="20">
        <v>30</v>
      </c>
      <c r="B46" s="21">
        <v>15.071999999999999</v>
      </c>
      <c r="C46" s="21">
        <v>15.013999999999999</v>
      </c>
      <c r="D46" s="21">
        <v>15.071</v>
      </c>
      <c r="E46" s="21">
        <v>14.925000000000001</v>
      </c>
      <c r="F46" s="21"/>
      <c r="G46" s="21"/>
      <c r="K46" s="12"/>
    </row>
  </sheetData>
  <mergeCells count="6">
    <mergeCell ref="B16:G16"/>
    <mergeCell ref="A1:G1"/>
    <mergeCell ref="I4:O28"/>
    <mergeCell ref="I30:O34"/>
    <mergeCell ref="I3:O3"/>
    <mergeCell ref="I29:O29"/>
  </mergeCells>
  <phoneticPr fontId="47" type="noConversion"/>
  <conditionalFormatting sqref="B14:G14">
    <cfRule type="cellIs" dxfId="19" priority="13" stopIfTrue="1" operator="notBetween">
      <formula>0</formula>
      <formula>$B$3-$B$4</formula>
    </cfRule>
    <cfRule type="cellIs" dxfId="18" priority="14" stopIfTrue="1" operator="between">
      <formula>0</formula>
      <formula>$B$3-$B$4</formula>
    </cfRule>
  </conditionalFormatting>
  <conditionalFormatting sqref="B6:B8">
    <cfRule type="cellIs" dxfId="17" priority="19" stopIfTrue="1" operator="greaterThanOrEqual">
      <formula>1.33</formula>
    </cfRule>
    <cfRule type="cellIs" dxfId="16" priority="20" stopIfTrue="1" operator="lessThan">
      <formula>1.33</formula>
    </cfRule>
  </conditionalFormatting>
  <conditionalFormatting sqref="E17:E46">
    <cfRule type="cellIs" dxfId="15" priority="9" stopIfTrue="1" operator="notBetween">
      <formula>E$3</formula>
      <formula>E$4</formula>
    </cfRule>
    <cfRule type="cellIs" dxfId="14" priority="10" stopIfTrue="1" operator="between">
      <formula>E$3</formula>
      <formula>E$4</formula>
    </cfRule>
  </conditionalFormatting>
  <conditionalFormatting sqref="F17:F46">
    <cfRule type="cellIs" dxfId="13" priority="11" stopIfTrue="1" operator="notBetween">
      <formula>F$3</formula>
      <formula>F$4</formula>
    </cfRule>
    <cfRule type="cellIs" dxfId="12" priority="12" stopIfTrue="1" operator="between">
      <formula>F$3</formula>
      <formula>F$4</formula>
    </cfRule>
  </conditionalFormatting>
  <conditionalFormatting sqref="G6:G8">
    <cfRule type="cellIs" dxfId="11" priority="3" stopIfTrue="1" operator="greaterThanOrEqual">
      <formula>1.33</formula>
    </cfRule>
    <cfRule type="cellIs" dxfId="10" priority="4" stopIfTrue="1" operator="lessThan">
      <formula>1.33</formula>
    </cfRule>
  </conditionalFormatting>
  <conditionalFormatting sqref="G10:G13">
    <cfRule type="cellIs" dxfId="9" priority="1" stopIfTrue="1" operator="notBetween">
      <formula>G$3</formula>
      <formula>G$4</formula>
    </cfRule>
    <cfRule type="cellIs" dxfId="8" priority="2" stopIfTrue="1" operator="between">
      <formula>G$3</formula>
      <formula>G$4</formula>
    </cfRule>
  </conditionalFormatting>
  <conditionalFormatting sqref="G17:G46">
    <cfRule type="cellIs" dxfId="7" priority="5" stopIfTrue="1" operator="notBetween">
      <formula>G$3</formula>
      <formula>G$4</formula>
    </cfRule>
    <cfRule type="cellIs" dxfId="6" priority="6" stopIfTrue="1" operator="between">
      <formula>G$3</formula>
      <formula>G$4</formula>
    </cfRule>
  </conditionalFormatting>
  <conditionalFormatting sqref="C6:F8">
    <cfRule type="cellIs" dxfId="5" priority="17" stopIfTrue="1" operator="greaterThanOrEqual">
      <formula>1.33</formula>
    </cfRule>
    <cfRule type="cellIs" dxfId="4" priority="18" stopIfTrue="1" operator="lessThan">
      <formula>1.33</formula>
    </cfRule>
  </conditionalFormatting>
  <conditionalFormatting sqref="B10:F13">
    <cfRule type="cellIs" dxfId="3" priority="15" stopIfTrue="1" operator="notBetween">
      <formula>B$3</formula>
      <formula>B$4</formula>
    </cfRule>
    <cfRule type="cellIs" dxfId="2" priority="16" stopIfTrue="1" operator="between">
      <formula>B$3</formula>
      <formula>B$4</formula>
    </cfRule>
  </conditionalFormatting>
  <conditionalFormatting sqref="B17:D46">
    <cfRule type="cellIs" dxfId="1" priority="7" stopIfTrue="1" operator="notBetween">
      <formula>B$3</formula>
      <formula>B$4</formula>
    </cfRule>
    <cfRule type="cellIs" dxfId="0" priority="8" stopIfTrue="1" operator="between">
      <formula>B$3</formula>
      <formula>B$4</formula>
    </cfRule>
  </conditionalFormatting>
  <pageMargins left="0.70866141732283505" right="0.70866141732283505" top="0.74803149606299202" bottom="0.74803149606299202" header="0.31496062992126" footer="0.31496062992126"/>
  <pageSetup paperSize="9" orientation="landscape"/>
  <headerFooter>
    <oddHeader>&amp;L&amp;G</oddHeader>
  </headerFooter>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J10"/>
  <sheetViews>
    <sheetView zoomScaleNormal="100" workbookViewId="0">
      <selection activeCell="D5" sqref="D5"/>
    </sheetView>
  </sheetViews>
  <sheetFormatPr defaultColWidth="9" defaultRowHeight="20.399999999999999"/>
  <cols>
    <col min="1" max="1" width="5.109375" style="3" customWidth="1"/>
    <col min="2" max="2" width="6.33203125" style="3" customWidth="1"/>
    <col min="3" max="3" width="6.6640625" style="3" customWidth="1"/>
    <col min="4" max="4" width="61" style="4" customWidth="1"/>
    <col min="5" max="5" width="49.33203125" style="4" customWidth="1"/>
    <col min="6" max="6" width="9" style="4" customWidth="1"/>
    <col min="7" max="16384" width="9" style="4"/>
  </cols>
  <sheetData>
    <row r="1" spans="1:10" s="1" customFormat="1" ht="19.95" customHeight="1">
      <c r="A1" s="163" t="str">
        <f ca="1">MID(CELL("filename",A2),FIND("]",CELL("filename",A2))+1,255)</f>
        <v>附件</v>
      </c>
      <c r="B1" s="129"/>
      <c r="C1" s="129"/>
      <c r="D1" s="129"/>
      <c r="E1" s="129"/>
    </row>
    <row r="2" spans="1:10" s="2" customFormat="1" ht="33" customHeight="1">
      <c r="A2" s="5" t="s">
        <v>106</v>
      </c>
      <c r="B2" s="5" t="s">
        <v>116</v>
      </c>
      <c r="C2" s="5" t="s">
        <v>183</v>
      </c>
      <c r="D2" s="5" t="s">
        <v>184</v>
      </c>
      <c r="E2" s="5" t="s">
        <v>185</v>
      </c>
    </row>
    <row r="3" spans="1:10" ht="49.95" customHeight="1">
      <c r="A3" s="6">
        <v>1</v>
      </c>
      <c r="B3" s="6"/>
      <c r="C3" s="6"/>
      <c r="D3" s="7"/>
      <c r="E3" s="8"/>
      <c r="F3" s="9"/>
      <c r="G3" s="9"/>
      <c r="H3" s="9"/>
      <c r="I3" s="9"/>
      <c r="J3" s="9"/>
    </row>
    <row r="4" spans="1:10" ht="49.95" customHeight="1">
      <c r="A4" s="6"/>
      <c r="B4" s="6"/>
      <c r="C4" s="6"/>
      <c r="D4" s="10"/>
      <c r="E4" s="10"/>
    </row>
    <row r="5" spans="1:10" ht="49.95" customHeight="1">
      <c r="A5" s="6"/>
      <c r="B5" s="6"/>
      <c r="C5" s="6"/>
      <c r="D5" s="10"/>
      <c r="E5" s="10"/>
    </row>
    <row r="6" spans="1:10" ht="49.95" customHeight="1">
      <c r="A6" s="6"/>
      <c r="B6" s="6"/>
      <c r="C6" s="6"/>
      <c r="D6" s="10"/>
      <c r="E6" s="10"/>
    </row>
    <row r="7" spans="1:10" ht="49.95" customHeight="1">
      <c r="A7" s="6"/>
      <c r="B7" s="6"/>
      <c r="C7" s="6"/>
      <c r="D7" s="10"/>
      <c r="E7" s="10"/>
    </row>
    <row r="8" spans="1:10" ht="49.95" customHeight="1">
      <c r="A8" s="6"/>
      <c r="B8" s="6"/>
      <c r="C8" s="6"/>
      <c r="D8" s="10"/>
      <c r="E8" s="10"/>
    </row>
    <row r="9" spans="1:10" ht="49.95" customHeight="1">
      <c r="A9" s="6"/>
      <c r="B9" s="6"/>
      <c r="C9" s="6"/>
      <c r="D9" s="10"/>
      <c r="E9" s="10"/>
    </row>
    <row r="10" spans="1:10" ht="49.95" customHeight="1">
      <c r="A10" s="6"/>
      <c r="B10" s="6"/>
      <c r="C10" s="6"/>
      <c r="D10" s="10"/>
      <c r="E10" s="10"/>
    </row>
  </sheetData>
  <mergeCells count="1">
    <mergeCell ref="A1:E1"/>
  </mergeCells>
  <phoneticPr fontId="47" type="noConversion"/>
  <pageMargins left="0.70866141732283472" right="0.70866141732283472" top="0.74803149606299213" bottom="0.74803149606299213" header="0.31496062992125978" footer="0.31496062992125978"/>
  <pageSetup paperSize="9" orientation="landscape" r:id="rId1"/>
  <headerFooter>
    <oddHeader>&amp;L&amp;6 &amp;G</oddHeader>
    <oddFooter>&amp;C本文中的所有信息均为深圳市雄帝科技股份有限公司内部信息，不得向外传播。</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11</vt:i4>
      </vt:variant>
      <vt:variant>
        <vt:lpstr>命名范围</vt:lpstr>
      </vt:variant>
      <vt:variant>
        <vt:i4>9</vt:i4>
      </vt:variant>
    </vt:vector>
  </HeadingPairs>
  <TitlesOfParts>
    <vt:vector size="20" baseType="lpstr">
      <vt:lpstr>验收测试结果</vt:lpstr>
      <vt:lpstr>遗留缺陷列表</vt:lpstr>
      <vt:lpstr>产品需求列表</vt:lpstr>
      <vt:lpstr>验收测试用例</vt:lpstr>
      <vt:lpstr>设备外观图</vt:lpstr>
      <vt:lpstr>跑机记录表（MTBF&amp;MTTR）</vt:lpstr>
      <vt:lpstr>打印版面介绍</vt:lpstr>
      <vt:lpstr>CPK测量记录-C36716（贴标）</vt:lpstr>
      <vt:lpstr>CPK测量记录-C36717 (白卡)</vt:lpstr>
      <vt:lpstr>CPK测量记录-C36717 (黑卡) </vt:lpstr>
      <vt:lpstr>附件</vt:lpstr>
      <vt:lpstr>'CPK测量记录-C36716（贴标）'!Print_Titles</vt:lpstr>
      <vt:lpstr>'CPK测量记录-C36717 (白卡)'!Print_Titles</vt:lpstr>
      <vt:lpstr>'CPK测量记录-C36717 (黑卡) '!Print_Titles</vt:lpstr>
      <vt:lpstr>产品需求列表!Print_Titles</vt:lpstr>
      <vt:lpstr>打印版面介绍!Print_Titles</vt:lpstr>
      <vt:lpstr>附件!Print_Titles</vt:lpstr>
      <vt:lpstr>设备外观图!Print_Titles</vt:lpstr>
      <vt:lpstr>验收测试用例!Print_Titles</vt:lpstr>
      <vt:lpstr>遗留缺陷列表!Print_Titles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徐芬</dc:creator>
  <cp:lastModifiedBy>邱国祥</cp:lastModifiedBy>
  <cp:lastPrinted>2022-03-30T00:48:24Z</cp:lastPrinted>
  <dcterms:created xsi:type="dcterms:W3CDTF">2006-09-16T00:00:00Z</dcterms:created>
  <dcterms:modified xsi:type="dcterms:W3CDTF">2025-08-22T05:34:16Z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2052-11.1.0.10495</vt:lpwstr>
  </property>
  <property fmtid="{D5CDD505-2E9C-101B-9397-08002B2CF9AE}" pid="3" name="ICV">
    <vt:lpwstr>5C8D26CBB12549B5B0F450B0713766CC</vt:lpwstr>
  </property>
</Properties>
</file>